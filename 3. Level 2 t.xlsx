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kessoncorp-my.sharepoint.com/personal/yanjia_wang_mckesson_com/Documents/Working space/My MCK Work On One Drive/05. McKesson Brands/Working/Project/Project H and I Story and strategy of McK Brands/Buy Side/Data/"/>
    </mc:Choice>
  </mc:AlternateContent>
  <xr:revisionPtr revIDLastSave="11" documentId="8_{E63A12B0-5E10-42F6-AEE6-91A3E455EAB5}" xr6:coauthVersionLast="47" xr6:coauthVersionMax="47" xr10:uidLastSave="{FDF42384-25AC-4C26-B245-98DEF8EAF4F0}"/>
  <bookViews>
    <workbookView xWindow="28680" yWindow="1710" windowWidth="38640" windowHeight="15720" firstSheet="2" activeTab="2" xr2:uid="{6DE2AFEE-4CC0-45FB-AD28-07A77F3F8F6F}"/>
  </bookViews>
  <sheets>
    <sheet name="PC ORIG" sheetId="5" state="hidden" r:id="rId1"/>
    <sheet name="PC GP Contribution Modifiers" sheetId="14" state="hidden" r:id="rId2"/>
    <sheet name="FinalVercel" sheetId="28" r:id="rId3"/>
    <sheet name="Current Red Comp Suppliers" sheetId="15" state="hidden" r:id="rId4"/>
    <sheet name="qry" sheetId="3" state="hidden" r:id="rId5"/>
  </sheets>
  <definedNames>
    <definedName name="_xlnm._FilterDatabase" localSheetId="0" hidden="1">'PC ORIG'!$A$3:$L$60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5" l="1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J7" i="5"/>
  <c r="J10" i="5"/>
  <c r="J34" i="5"/>
  <c r="J35" i="5"/>
  <c r="J45" i="5"/>
  <c r="J46" i="5"/>
  <c r="J54" i="5"/>
  <c r="J55" i="5"/>
  <c r="J59" i="5"/>
  <c r="J70" i="5"/>
  <c r="J82" i="5"/>
  <c r="J83" i="5"/>
  <c r="J89" i="5"/>
  <c r="G16" i="5"/>
  <c r="G19" i="5"/>
  <c r="G20" i="5"/>
  <c r="G22" i="5"/>
  <c r="G23" i="5"/>
  <c r="G29" i="5"/>
  <c r="G30" i="5"/>
  <c r="G32" i="5"/>
  <c r="G44" i="5"/>
  <c r="G45" i="5"/>
  <c r="G46" i="5"/>
  <c r="G47" i="5"/>
  <c r="G57" i="5"/>
  <c r="G58" i="5"/>
  <c r="G60" i="5"/>
  <c r="G64" i="5"/>
  <c r="G69" i="5"/>
  <c r="G71" i="5"/>
  <c r="G72" i="5"/>
  <c r="G78" i="5"/>
  <c r="G80" i="5"/>
  <c r="G81" i="5"/>
  <c r="G106" i="5"/>
  <c r="G107" i="5"/>
  <c r="I45" i="5"/>
  <c r="I46" i="5"/>
  <c r="I51" i="5"/>
  <c r="J51" i="5" s="1"/>
  <c r="I65" i="5"/>
  <c r="J65" i="5" s="1"/>
  <c r="I67" i="5"/>
  <c r="J67" i="5" s="1"/>
  <c r="I69" i="5"/>
  <c r="J69" i="5" s="1"/>
  <c r="I71" i="5"/>
  <c r="J71" i="5" s="1"/>
  <c r="I89" i="5"/>
  <c r="F13" i="5"/>
  <c r="K13" i="5" s="1"/>
  <c r="L13" i="5" s="1"/>
  <c r="F14" i="5"/>
  <c r="K14" i="5" s="1"/>
  <c r="L14" i="5" s="1"/>
  <c r="F45" i="5"/>
  <c r="K45" i="5" s="1"/>
  <c r="L45" i="5" s="1"/>
  <c r="F46" i="5"/>
  <c r="F55" i="5"/>
  <c r="G55" i="5" s="1"/>
  <c r="F60" i="5"/>
  <c r="F61" i="5"/>
  <c r="K61" i="5" s="1"/>
  <c r="L61" i="5" s="1"/>
  <c r="F62" i="5"/>
  <c r="G62" i="5" s="1"/>
  <c r="F87" i="5"/>
  <c r="F99" i="5"/>
  <c r="K99" i="5" s="1"/>
  <c r="L99" i="5" s="1"/>
  <c r="F100" i="5"/>
  <c r="G100" i="5" s="1"/>
  <c r="D12" i="5"/>
  <c r="I12" i="5" s="1"/>
  <c r="J12" i="5" s="1"/>
  <c r="D26" i="5"/>
  <c r="I26" i="5" s="1"/>
  <c r="J26" i="5" s="1"/>
  <c r="D66" i="5"/>
  <c r="D47" i="5"/>
  <c r="F47" i="5" s="1"/>
  <c r="D29" i="5"/>
  <c r="F29" i="5" s="1"/>
  <c r="D16" i="5"/>
  <c r="F16" i="5" s="1"/>
  <c r="D61" i="5"/>
  <c r="I61" i="5" s="1"/>
  <c r="J61" i="5" s="1"/>
  <c r="D67" i="5"/>
  <c r="F67" i="5" s="1"/>
  <c r="G67" i="5" s="1"/>
  <c r="D38" i="5"/>
  <c r="I38" i="5" s="1"/>
  <c r="J38" i="5" s="1"/>
  <c r="D28" i="5"/>
  <c r="D42" i="5"/>
  <c r="D15" i="5"/>
  <c r="I15" i="5" s="1"/>
  <c r="J15" i="5" s="1"/>
  <c r="D107" i="5"/>
  <c r="F107" i="5" s="1"/>
  <c r="D9" i="5"/>
  <c r="F9" i="5" s="1"/>
  <c r="G9" i="5" s="1"/>
  <c r="D68" i="5"/>
  <c r="F68" i="5" s="1"/>
  <c r="G68" i="5" s="1"/>
  <c r="D51" i="5"/>
  <c r="F51" i="5" s="1"/>
  <c r="G51" i="5" s="1"/>
  <c r="D58" i="5"/>
  <c r="F58" i="5" s="1"/>
  <c r="D55" i="5"/>
  <c r="I55" i="5" s="1"/>
  <c r="D69" i="5"/>
  <c r="F69" i="5" s="1"/>
  <c r="D24" i="5"/>
  <c r="F24" i="5" s="1"/>
  <c r="G24" i="5" s="1"/>
  <c r="D62" i="5"/>
  <c r="I62" i="5" s="1"/>
  <c r="J62" i="5" s="1"/>
  <c r="D6" i="5"/>
  <c r="F6" i="5" s="1"/>
  <c r="G6" i="5" s="1"/>
  <c r="D5" i="5"/>
  <c r="D17" i="5"/>
  <c r="D70" i="5"/>
  <c r="I70" i="5" s="1"/>
  <c r="D25" i="5"/>
  <c r="I25" i="5" s="1"/>
  <c r="J25" i="5" s="1"/>
  <c r="D11" i="5"/>
  <c r="I11" i="5" s="1"/>
  <c r="J11" i="5" s="1"/>
  <c r="D19" i="5"/>
  <c r="F19" i="5" s="1"/>
  <c r="D50" i="5"/>
  <c r="F50" i="5" s="1"/>
  <c r="G50" i="5" s="1"/>
  <c r="D44" i="5"/>
  <c r="F44" i="5" s="1"/>
  <c r="D71" i="5"/>
  <c r="F71" i="5" s="1"/>
  <c r="D72" i="5"/>
  <c r="F72" i="5" s="1"/>
  <c r="D73" i="5"/>
  <c r="I73" i="5" s="1"/>
  <c r="J73" i="5" s="1"/>
  <c r="D74" i="5"/>
  <c r="I74" i="5" s="1"/>
  <c r="J74" i="5" s="1"/>
  <c r="D13" i="5"/>
  <c r="I13" i="5" s="1"/>
  <c r="J13" i="5" s="1"/>
  <c r="D75" i="5"/>
  <c r="I75" i="5" s="1"/>
  <c r="J75" i="5" s="1"/>
  <c r="D76" i="5"/>
  <c r="D49" i="5"/>
  <c r="I49" i="5" s="1"/>
  <c r="J49" i="5" s="1"/>
  <c r="D77" i="5"/>
  <c r="D78" i="5"/>
  <c r="F78" i="5" s="1"/>
  <c r="D54" i="5"/>
  <c r="I54" i="5" s="1"/>
  <c r="D79" i="5"/>
  <c r="I79" i="5" s="1"/>
  <c r="D46" i="5"/>
  <c r="D80" i="5"/>
  <c r="F80" i="5" s="1"/>
  <c r="D81" i="5"/>
  <c r="F81" i="5" s="1"/>
  <c r="D59" i="5"/>
  <c r="I59" i="5" s="1"/>
  <c r="D82" i="5"/>
  <c r="I82" i="5" s="1"/>
  <c r="D83" i="5"/>
  <c r="I83" i="5" s="1"/>
  <c r="D84" i="5"/>
  <c r="I84" i="5" s="1"/>
  <c r="J84" i="5" s="1"/>
  <c r="D14" i="5"/>
  <c r="I14" i="5" s="1"/>
  <c r="J14" i="5" s="1"/>
  <c r="D52" i="5"/>
  <c r="D36" i="5"/>
  <c r="I36" i="5" s="1"/>
  <c r="J36" i="5" s="1"/>
  <c r="D85" i="5"/>
  <c r="I85" i="5" s="1"/>
  <c r="J85" i="5" s="1"/>
  <c r="D64" i="5"/>
  <c r="F64" i="5" s="1"/>
  <c r="D30" i="5"/>
  <c r="F30" i="5" s="1"/>
  <c r="D53" i="5"/>
  <c r="F53" i="5" s="1"/>
  <c r="G53" i="5" s="1"/>
  <c r="D32" i="5"/>
  <c r="F32" i="5" s="1"/>
  <c r="D57" i="5"/>
  <c r="F57" i="5" s="1"/>
  <c r="D43" i="5"/>
  <c r="F43" i="5" s="1"/>
  <c r="G43" i="5" s="1"/>
  <c r="D39" i="5"/>
  <c r="I39" i="5" s="1"/>
  <c r="J39" i="5" s="1"/>
  <c r="D18" i="5"/>
  <c r="D56" i="5"/>
  <c r="F56" i="5" s="1"/>
  <c r="G56" i="5" s="1"/>
  <c r="D33" i="5"/>
  <c r="F33" i="5" s="1"/>
  <c r="G33" i="5" s="1"/>
  <c r="D48" i="5"/>
  <c r="I48" i="5" s="1"/>
  <c r="J48" i="5" s="1"/>
  <c r="D86" i="5"/>
  <c r="F86" i="5" s="1"/>
  <c r="G86" i="5" s="1"/>
  <c r="D87" i="5"/>
  <c r="I87" i="5" s="1"/>
  <c r="J87" i="5" s="1"/>
  <c r="D88" i="5"/>
  <c r="F88" i="5" s="1"/>
  <c r="G88" i="5" s="1"/>
  <c r="D89" i="5"/>
  <c r="F89" i="5" s="1"/>
  <c r="G89" i="5" s="1"/>
  <c r="D90" i="5"/>
  <c r="F90" i="5" s="1"/>
  <c r="G90" i="5" s="1"/>
  <c r="D91" i="5"/>
  <c r="F91" i="5" s="1"/>
  <c r="G91" i="5" s="1"/>
  <c r="D92" i="5"/>
  <c r="F92" i="5" s="1"/>
  <c r="G92" i="5" s="1"/>
  <c r="D93" i="5"/>
  <c r="F93" i="5" s="1"/>
  <c r="G93" i="5" s="1"/>
  <c r="D94" i="5"/>
  <c r="I94" i="5" s="1"/>
  <c r="J94" i="5" s="1"/>
  <c r="D95" i="5"/>
  <c r="F95" i="5" s="1"/>
  <c r="G95" i="5" s="1"/>
  <c r="D96" i="5"/>
  <c r="I96" i="5" s="1"/>
  <c r="J96" i="5" s="1"/>
  <c r="D97" i="5"/>
  <c r="I97" i="5" s="1"/>
  <c r="J97" i="5" s="1"/>
  <c r="D98" i="5"/>
  <c r="I98" i="5" s="1"/>
  <c r="J98" i="5" s="1"/>
  <c r="D35" i="5"/>
  <c r="I35" i="5" s="1"/>
  <c r="D99" i="5"/>
  <c r="I99" i="5" s="1"/>
  <c r="J99" i="5" s="1"/>
  <c r="D100" i="5"/>
  <c r="I100" i="5" s="1"/>
  <c r="J100" i="5" s="1"/>
  <c r="D60" i="5"/>
  <c r="I60" i="5" s="1"/>
  <c r="J60" i="5" s="1"/>
  <c r="D101" i="5"/>
  <c r="D63" i="5"/>
  <c r="I63" i="5" s="1"/>
  <c r="J63" i="5" s="1"/>
  <c r="D102" i="5"/>
  <c r="F102" i="5" s="1"/>
  <c r="G102" i="5" s="1"/>
  <c r="D103" i="5"/>
  <c r="F103" i="5" s="1"/>
  <c r="G103" i="5" s="1"/>
  <c r="D104" i="5"/>
  <c r="F104" i="5" s="1"/>
  <c r="G104" i="5" s="1"/>
  <c r="D21" i="5"/>
  <c r="F21" i="5" s="1"/>
  <c r="G21" i="5" s="1"/>
  <c r="D20" i="5"/>
  <c r="F20" i="5" s="1"/>
  <c r="D34" i="5"/>
  <c r="I34" i="5" s="1"/>
  <c r="D23" i="5"/>
  <c r="F23" i="5" s="1"/>
  <c r="D22" i="5"/>
  <c r="F22" i="5" s="1"/>
  <c r="D45" i="5"/>
  <c r="D40" i="5"/>
  <c r="F40" i="5" s="1"/>
  <c r="G40" i="5" s="1"/>
  <c r="D27" i="5"/>
  <c r="I27" i="5" s="1"/>
  <c r="J27" i="5" s="1"/>
  <c r="D31" i="5"/>
  <c r="F31" i="5" s="1"/>
  <c r="G31" i="5" s="1"/>
  <c r="D4" i="5"/>
  <c r="I4" i="5" s="1"/>
  <c r="J4" i="5" s="1"/>
  <c r="D10" i="5"/>
  <c r="I10" i="5" s="1"/>
  <c r="D8" i="5"/>
  <c r="F8" i="5" s="1"/>
  <c r="G8" i="5" s="1"/>
  <c r="D105" i="5"/>
  <c r="F105" i="5" s="1"/>
  <c r="G105" i="5" s="1"/>
  <c r="D106" i="5"/>
  <c r="F106" i="5" s="1"/>
  <c r="D7" i="5"/>
  <c r="I7" i="5" s="1"/>
  <c r="D41" i="5"/>
  <c r="F41" i="5" s="1"/>
  <c r="G41" i="5" s="1"/>
  <c r="D37" i="5"/>
  <c r="I37" i="5" s="1"/>
  <c r="J37" i="5" s="1"/>
  <c r="D65" i="5"/>
  <c r="F65" i="5" s="1"/>
  <c r="G65" i="5" s="1"/>
  <c r="H2" i="5"/>
  <c r="E2" i="5"/>
  <c r="C2" i="5"/>
  <c r="B2" i="5"/>
  <c r="A43" i="3" a="1"/>
  <c r="A43" i="3" s="1"/>
  <c r="A61" i="3" a="1"/>
  <c r="A61" i="3" s="1"/>
  <c r="J79" i="5" l="1"/>
  <c r="I95" i="5"/>
  <c r="J95" i="5" s="1"/>
  <c r="F94" i="5"/>
  <c r="G94" i="5" s="1"/>
  <c r="I93" i="5"/>
  <c r="J93" i="5" s="1"/>
  <c r="K87" i="5"/>
  <c r="L87" i="5" s="1"/>
  <c r="F39" i="5"/>
  <c r="I92" i="5"/>
  <c r="J92" i="5" s="1"/>
  <c r="K72" i="5"/>
  <c r="L72" i="5" s="1"/>
  <c r="F83" i="5"/>
  <c r="G83" i="5" s="1"/>
  <c r="F38" i="5"/>
  <c r="G38" i="5" s="1"/>
  <c r="I90" i="5"/>
  <c r="J90" i="5" s="1"/>
  <c r="I44" i="5"/>
  <c r="J44" i="5" s="1"/>
  <c r="F12" i="5"/>
  <c r="I30" i="5"/>
  <c r="J30" i="5" s="1"/>
  <c r="K55" i="5"/>
  <c r="L55" i="5" s="1"/>
  <c r="F79" i="5"/>
  <c r="G79" i="5" s="1"/>
  <c r="F35" i="5"/>
  <c r="G35" i="5" s="1"/>
  <c r="I24" i="5"/>
  <c r="J24" i="5" s="1"/>
  <c r="G99" i="5"/>
  <c r="G87" i="5"/>
  <c r="K71" i="5"/>
  <c r="L71" i="5" s="1"/>
  <c r="F82" i="5"/>
  <c r="G82" i="5" s="1"/>
  <c r="I23" i="5"/>
  <c r="J23" i="5" s="1"/>
  <c r="G14" i="5"/>
  <c r="F37" i="5"/>
  <c r="G37" i="5" s="1"/>
  <c r="K51" i="5"/>
  <c r="L51" i="5" s="1"/>
  <c r="F63" i="5"/>
  <c r="F15" i="5"/>
  <c r="I72" i="5"/>
  <c r="J72" i="5" s="1"/>
  <c r="I22" i="5"/>
  <c r="J22" i="5" s="1"/>
  <c r="G61" i="5"/>
  <c r="G13" i="5"/>
  <c r="K106" i="5"/>
  <c r="L106" i="5" s="1"/>
  <c r="F11" i="5"/>
  <c r="G11" i="5" s="1"/>
  <c r="F36" i="5"/>
  <c r="F10" i="5"/>
  <c r="F75" i="5"/>
  <c r="F54" i="5"/>
  <c r="F34" i="5"/>
  <c r="I106" i="5"/>
  <c r="J106" i="5" s="1"/>
  <c r="I86" i="5"/>
  <c r="I58" i="5"/>
  <c r="I19" i="5"/>
  <c r="I50" i="5"/>
  <c r="F85" i="5"/>
  <c r="G85" i="5" s="1"/>
  <c r="K67" i="5"/>
  <c r="L67" i="5" s="1"/>
  <c r="F7" i="5"/>
  <c r="I43" i="5"/>
  <c r="F98" i="5"/>
  <c r="K65" i="5"/>
  <c r="L65" i="5" s="1"/>
  <c r="K100" i="5"/>
  <c r="L100" i="5" s="1"/>
  <c r="K89" i="5"/>
  <c r="L89" i="5" s="1"/>
  <c r="F97" i="5"/>
  <c r="I103" i="5"/>
  <c r="J103" i="5" s="1"/>
  <c r="I33" i="5"/>
  <c r="I78" i="5"/>
  <c r="I29" i="5"/>
  <c r="I47" i="5"/>
  <c r="I20" i="5"/>
  <c r="J20" i="5" s="1"/>
  <c r="F73" i="5"/>
  <c r="G73" i="5" s="1"/>
  <c r="I104" i="5"/>
  <c r="J104" i="5" s="1"/>
  <c r="K30" i="5"/>
  <c r="L30" i="5" s="1"/>
  <c r="K69" i="5"/>
  <c r="L69" i="5" s="1"/>
  <c r="F96" i="5"/>
  <c r="F48" i="5"/>
  <c r="I102" i="5"/>
  <c r="I81" i="5"/>
  <c r="I32" i="5"/>
  <c r="I9" i="5"/>
  <c r="J9" i="5" s="1"/>
  <c r="I21" i="5"/>
  <c r="K90" i="5"/>
  <c r="L90" i="5" s="1"/>
  <c r="I56" i="5"/>
  <c r="J56" i="5" s="1"/>
  <c r="F70" i="5"/>
  <c r="G70" i="5" s="1"/>
  <c r="I80" i="5"/>
  <c r="I53" i="5"/>
  <c r="I31" i="5"/>
  <c r="F28" i="5"/>
  <c r="G28" i="5" s="1"/>
  <c r="I28" i="5"/>
  <c r="J28" i="5" s="1"/>
  <c r="K60" i="5"/>
  <c r="L60" i="5" s="1"/>
  <c r="K37" i="5"/>
  <c r="L37" i="5" s="1"/>
  <c r="K44" i="5"/>
  <c r="L44" i="5" s="1"/>
  <c r="F74" i="5"/>
  <c r="K73" i="5"/>
  <c r="L73" i="5" s="1"/>
  <c r="K95" i="5"/>
  <c r="L95" i="5" s="1"/>
  <c r="F77" i="5"/>
  <c r="G77" i="5" s="1"/>
  <c r="I77" i="5"/>
  <c r="J77" i="5" s="1"/>
  <c r="F101" i="5"/>
  <c r="G101" i="5" s="1"/>
  <c r="I101" i="5"/>
  <c r="J101" i="5" s="1"/>
  <c r="I57" i="5"/>
  <c r="K94" i="5"/>
  <c r="L94" i="5" s="1"/>
  <c r="K9" i="5"/>
  <c r="L9" i="5" s="1"/>
  <c r="F49" i="5"/>
  <c r="I91" i="5"/>
  <c r="F18" i="5"/>
  <c r="G18" i="5" s="1"/>
  <c r="I18" i="5"/>
  <c r="J18" i="5" s="1"/>
  <c r="F76" i="5"/>
  <c r="G76" i="5" s="1"/>
  <c r="I76" i="5"/>
  <c r="J76" i="5" s="1"/>
  <c r="I107" i="5"/>
  <c r="F17" i="5"/>
  <c r="G17" i="5" s="1"/>
  <c r="I17" i="5"/>
  <c r="J17" i="5" s="1"/>
  <c r="F4" i="5"/>
  <c r="K85" i="5"/>
  <c r="L85" i="5" s="1"/>
  <c r="I6" i="5"/>
  <c r="F59" i="5"/>
  <c r="K11" i="5"/>
  <c r="L11" i="5" s="1"/>
  <c r="F52" i="5"/>
  <c r="G52" i="5" s="1"/>
  <c r="I52" i="5"/>
  <c r="J52" i="5" s="1"/>
  <c r="F66" i="5"/>
  <c r="G66" i="5" s="1"/>
  <c r="I66" i="5"/>
  <c r="J66" i="5" s="1"/>
  <c r="F27" i="5"/>
  <c r="F26" i="5"/>
  <c r="I8" i="5"/>
  <c r="F25" i="5"/>
  <c r="K93" i="5"/>
  <c r="L93" i="5" s="1"/>
  <c r="D2" i="5"/>
  <c r="K92" i="5"/>
  <c r="L92" i="5" s="1"/>
  <c r="F5" i="5"/>
  <c r="G5" i="5" s="1"/>
  <c r="I5" i="5"/>
  <c r="J5" i="5" s="1"/>
  <c r="F42" i="5"/>
  <c r="G42" i="5" s="1"/>
  <c r="I42" i="5"/>
  <c r="J42" i="5" s="1"/>
  <c r="F84" i="5"/>
  <c r="K62" i="5"/>
  <c r="L62" i="5" s="1"/>
  <c r="K46" i="5"/>
  <c r="L46" i="5" s="1"/>
  <c r="K23" i="5"/>
  <c r="L23" i="5" s="1"/>
  <c r="I105" i="5"/>
  <c r="I68" i="5"/>
  <c r="I41" i="5"/>
  <c r="I88" i="5"/>
  <c r="I64" i="5"/>
  <c r="I40" i="5"/>
  <c r="J40" i="5" s="1"/>
  <c r="I16" i="5"/>
  <c r="K40" i="5" l="1"/>
  <c r="L40" i="5" s="1"/>
  <c r="K78" i="5"/>
  <c r="L78" i="5" s="1"/>
  <c r="J78" i="5"/>
  <c r="K33" i="5"/>
  <c r="L33" i="5" s="1"/>
  <c r="J33" i="5"/>
  <c r="K53" i="5"/>
  <c r="L53" i="5" s="1"/>
  <c r="J53" i="5"/>
  <c r="K58" i="5"/>
  <c r="L58" i="5" s="1"/>
  <c r="J58" i="5"/>
  <c r="K41" i="5"/>
  <c r="L41" i="5" s="1"/>
  <c r="J41" i="5"/>
  <c r="K91" i="5"/>
  <c r="L91" i="5" s="1"/>
  <c r="J91" i="5"/>
  <c r="K80" i="5"/>
  <c r="L80" i="5" s="1"/>
  <c r="J80" i="5"/>
  <c r="K86" i="5"/>
  <c r="L86" i="5" s="1"/>
  <c r="J86" i="5"/>
  <c r="K49" i="5"/>
  <c r="L49" i="5" s="1"/>
  <c r="G49" i="5"/>
  <c r="K8" i="5"/>
  <c r="L8" i="5" s="1"/>
  <c r="J8" i="5"/>
  <c r="K74" i="5"/>
  <c r="L74" i="5" s="1"/>
  <c r="G74" i="5"/>
  <c r="K26" i="5"/>
  <c r="L26" i="5" s="1"/>
  <c r="G26" i="5"/>
  <c r="K98" i="5"/>
  <c r="L98" i="5" s="1"/>
  <c r="G98" i="5"/>
  <c r="K70" i="5"/>
  <c r="L70" i="5" s="1"/>
  <c r="K20" i="5"/>
  <c r="L20" i="5" s="1"/>
  <c r="K21" i="5"/>
  <c r="L21" i="5" s="1"/>
  <c r="J21" i="5"/>
  <c r="K35" i="5"/>
  <c r="L35" i="5" s="1"/>
  <c r="K36" i="5"/>
  <c r="L36" i="5" s="1"/>
  <c r="G36" i="5"/>
  <c r="K50" i="5"/>
  <c r="L50" i="5" s="1"/>
  <c r="J50" i="5"/>
  <c r="K31" i="5"/>
  <c r="L31" i="5" s="1"/>
  <c r="J31" i="5"/>
  <c r="K105" i="5"/>
  <c r="L105" i="5" s="1"/>
  <c r="J105" i="5"/>
  <c r="K6" i="5"/>
  <c r="L6" i="5" s="1"/>
  <c r="J6" i="5"/>
  <c r="K34" i="5"/>
  <c r="L34" i="5" s="1"/>
  <c r="G34" i="5"/>
  <c r="K56" i="5"/>
  <c r="L56" i="5" s="1"/>
  <c r="K24" i="5"/>
  <c r="L24" i="5" s="1"/>
  <c r="K54" i="5"/>
  <c r="L54" i="5" s="1"/>
  <c r="G54" i="5"/>
  <c r="K4" i="5"/>
  <c r="L4" i="5" s="1"/>
  <c r="G4" i="5"/>
  <c r="K83" i="5"/>
  <c r="L83" i="5" s="1"/>
  <c r="K43" i="5"/>
  <c r="L43" i="5" s="1"/>
  <c r="J43" i="5"/>
  <c r="K10" i="5"/>
  <c r="L10" i="5" s="1"/>
  <c r="G10" i="5"/>
  <c r="K22" i="5"/>
  <c r="L22" i="5" s="1"/>
  <c r="K84" i="5"/>
  <c r="L84" i="5" s="1"/>
  <c r="G84" i="5"/>
  <c r="K104" i="5"/>
  <c r="L104" i="5" s="1"/>
  <c r="K103" i="5"/>
  <c r="L103" i="5" s="1"/>
  <c r="K7" i="5"/>
  <c r="L7" i="5" s="1"/>
  <c r="G7" i="5"/>
  <c r="K12" i="5"/>
  <c r="L12" i="5" s="1"/>
  <c r="G12" i="5"/>
  <c r="K27" i="5"/>
  <c r="L27" i="5" s="1"/>
  <c r="G27" i="5"/>
  <c r="K107" i="5"/>
  <c r="L107" i="5" s="1"/>
  <c r="J107" i="5"/>
  <c r="K57" i="5"/>
  <c r="L57" i="5" s="1"/>
  <c r="J57" i="5"/>
  <c r="K32" i="5"/>
  <c r="L32" i="5" s="1"/>
  <c r="J32" i="5"/>
  <c r="K47" i="5"/>
  <c r="L47" i="5" s="1"/>
  <c r="J47" i="5"/>
  <c r="K82" i="5"/>
  <c r="L82" i="5" s="1"/>
  <c r="K79" i="5"/>
  <c r="L79" i="5" s="1"/>
  <c r="K102" i="5"/>
  <c r="L102" i="5" s="1"/>
  <c r="J102" i="5"/>
  <c r="K64" i="5"/>
  <c r="L64" i="5" s="1"/>
  <c r="J64" i="5"/>
  <c r="K48" i="5"/>
  <c r="L48" i="5" s="1"/>
  <c r="G48" i="5"/>
  <c r="K19" i="5"/>
  <c r="L19" i="5" s="1"/>
  <c r="J19" i="5"/>
  <c r="J2" i="5" s="1"/>
  <c r="K88" i="5"/>
  <c r="L88" i="5" s="1"/>
  <c r="J88" i="5"/>
  <c r="K96" i="5"/>
  <c r="L96" i="5" s="1"/>
  <c r="G96" i="5"/>
  <c r="K97" i="5"/>
  <c r="L97" i="5" s="1"/>
  <c r="G97" i="5"/>
  <c r="K68" i="5"/>
  <c r="L68" i="5" s="1"/>
  <c r="J68" i="5"/>
  <c r="K59" i="5"/>
  <c r="L59" i="5" s="1"/>
  <c r="G59" i="5"/>
  <c r="K39" i="5"/>
  <c r="L39" i="5" s="1"/>
  <c r="G39" i="5"/>
  <c r="K25" i="5"/>
  <c r="L25" i="5" s="1"/>
  <c r="G25" i="5"/>
  <c r="K15" i="5"/>
  <c r="L15" i="5" s="1"/>
  <c r="G15" i="5"/>
  <c r="K63" i="5"/>
  <c r="L63" i="5" s="1"/>
  <c r="G63" i="5"/>
  <c r="K75" i="5"/>
  <c r="L75" i="5" s="1"/>
  <c r="G75" i="5"/>
  <c r="K16" i="5"/>
  <c r="L16" i="5" s="1"/>
  <c r="J16" i="5"/>
  <c r="K38" i="5"/>
  <c r="L38" i="5" s="1"/>
  <c r="K81" i="5"/>
  <c r="L81" i="5" s="1"/>
  <c r="J81" i="5"/>
  <c r="K29" i="5"/>
  <c r="L29" i="5" s="1"/>
  <c r="J29" i="5"/>
  <c r="K42" i="5"/>
  <c r="L42" i="5" s="1"/>
  <c r="K76" i="5"/>
  <c r="L76" i="5" s="1"/>
  <c r="K17" i="5"/>
  <c r="L17" i="5" s="1"/>
  <c r="K101" i="5"/>
  <c r="L101" i="5" s="1"/>
  <c r="K28" i="5"/>
  <c r="L28" i="5" s="1"/>
  <c r="K77" i="5"/>
  <c r="L77" i="5" s="1"/>
  <c r="K5" i="5"/>
  <c r="L5" i="5" s="1"/>
  <c r="K18" i="5"/>
  <c r="L18" i="5" s="1"/>
  <c r="K66" i="5"/>
  <c r="L66" i="5" s="1"/>
  <c r="K52" i="5"/>
  <c r="L52" i="5" s="1"/>
  <c r="O5" i="5" l="1"/>
  <c r="O6" i="5"/>
  <c r="G2" i="5"/>
  <c r="K2" i="5"/>
  <c r="L2" i="5" l="1"/>
  <c r="O2" i="5" s="1"/>
  <c r="O8" i="5"/>
  <c r="O7" i="5"/>
  <c r="O4" i="5"/>
  <c r="O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<sst xmlns="http://schemas.openxmlformats.org/spreadsheetml/2006/main" count="628" uniqueCount="420">
  <si>
    <t>Smmary</t>
  </si>
  <si>
    <t>TOTAL</t>
  </si>
  <si>
    <t>High Accpt - 30%, Mixed - 10%, Low-5%</t>
  </si>
  <si>
    <t>High Accpt - 10%, Mixed - 5%, Low-0%</t>
  </si>
  <si>
    <t xml:space="preserve">Increase MCKB pentration by </t>
  </si>
  <si>
    <t>L2 Categories</t>
  </si>
  <si>
    <t>Total L12M Sales</t>
  </si>
  <si>
    <t>Total L12M MCKB Sales</t>
  </si>
  <si>
    <t>MCKB %</t>
  </si>
  <si>
    <t>Others Sales with PL CE Alt</t>
  </si>
  <si>
    <t>Assumed Conversion Rate</t>
  </si>
  <si>
    <t>Others conversion $</t>
  </si>
  <si>
    <t>Preferred Sales with PL CE Alt</t>
  </si>
  <si>
    <t>Preferred conversion $</t>
  </si>
  <si>
    <t>Total Conversion $</t>
  </si>
  <si>
    <t>New MCK %</t>
  </si>
  <si>
    <t>Convert Other suppliers revenue of</t>
  </si>
  <si>
    <t>Table Paper</t>
  </si>
  <si>
    <t>Convert % Other suppliers revenue</t>
  </si>
  <si>
    <t>Gloves</t>
  </si>
  <si>
    <t>Convert Preferred suppliers revenue of</t>
  </si>
  <si>
    <t>Gauze</t>
  </si>
  <si>
    <t>Convert % Preferred suppliers revenue</t>
  </si>
  <si>
    <t>Underpads, Pads &amp; Liners</t>
  </si>
  <si>
    <t>Textiles</t>
  </si>
  <si>
    <t>Total Conversion %</t>
  </si>
  <si>
    <t>Durable Medical Equipment</t>
  </si>
  <si>
    <t>Tapes/Wraps</t>
  </si>
  <si>
    <t>Inco Wipes</t>
  </si>
  <si>
    <t>Ancillary Nursing Supplies</t>
  </si>
  <si>
    <t>Lab-Blood Glucose Meters &amp; Sup</t>
  </si>
  <si>
    <t>Lab-Rapids</t>
  </si>
  <si>
    <t>Disposable Underwear</t>
  </si>
  <si>
    <t>Containers</t>
  </si>
  <si>
    <t>Hand Hygiene</t>
  </si>
  <si>
    <t>Personal Protective Equipment</t>
  </si>
  <si>
    <t>Incontinence Briefs</t>
  </si>
  <si>
    <t>Skin Care</t>
  </si>
  <si>
    <t>Skin &amp; Surgical Prep</t>
  </si>
  <si>
    <t>Sterilization</t>
  </si>
  <si>
    <t>Sterile Drapes &amp; Gowns</t>
  </si>
  <si>
    <t>Food Service Disposables</t>
  </si>
  <si>
    <t>Housekeeping</t>
  </si>
  <si>
    <t>Anesthesia &amp; Suction</t>
  </si>
  <si>
    <t>Surgical Equipment/Accessories</t>
  </si>
  <si>
    <t>Diagnostic Disposables</t>
  </si>
  <si>
    <t>Compression</t>
  </si>
  <si>
    <t>Needles &amp; Syringes</t>
  </si>
  <si>
    <t>Surgical Instruments</t>
  </si>
  <si>
    <t>Orthopedics</t>
  </si>
  <si>
    <t>Respiratory Therapy</t>
  </si>
  <si>
    <t>Specialty Dressings</t>
  </si>
  <si>
    <t>Rx-Otc And Topicals</t>
  </si>
  <si>
    <t>Lab-Specimen Collection</t>
  </si>
  <si>
    <t>Wound Closure</t>
  </si>
  <si>
    <t>Diagnostic Cardiology</t>
  </si>
  <si>
    <t>Personal Care</t>
  </si>
  <si>
    <t>Surgical Disposables</t>
  </si>
  <si>
    <t>Urology</t>
  </si>
  <si>
    <t>Diagnostic Imaging</t>
  </si>
  <si>
    <t>Patient Assessment/Monitoring</t>
  </si>
  <si>
    <t>Kits, Custom &amp; Standard</t>
  </si>
  <si>
    <t>Surface Disinfection</t>
  </si>
  <si>
    <t>Lab-Lab Supplies</t>
  </si>
  <si>
    <t>Beds and Patient Safety</t>
  </si>
  <si>
    <t>Rx - Asthma</t>
  </si>
  <si>
    <t>Lab-General Lab Equipment</t>
  </si>
  <si>
    <t>IV Therapy</t>
  </si>
  <si>
    <t>Exam &amp; Patient Room Furnishing</t>
  </si>
  <si>
    <t>Lab-Respiratory Testing</t>
  </si>
  <si>
    <t>Office Supplies</t>
  </si>
  <si>
    <t>Lab-Instrument Driven Testing</t>
  </si>
  <si>
    <t>Feeding Supplies</t>
  </si>
  <si>
    <t>Procedure Equipment (Sterilize</t>
  </si>
  <si>
    <t>Ostomy</t>
  </si>
  <si>
    <t>Exam Tables</t>
  </si>
  <si>
    <t>Lab-Microbiology</t>
  </si>
  <si>
    <t>Rx-Ulcer Drugs</t>
  </si>
  <si>
    <t>CPAP</t>
  </si>
  <si>
    <t>Food Supplements</t>
  </si>
  <si>
    <t>Services</t>
  </si>
  <si>
    <t>N/A</t>
  </si>
  <si>
    <t>Adaptive Clothing</t>
  </si>
  <si>
    <t>Automation System</t>
  </si>
  <si>
    <t>Defibrillators</t>
  </si>
  <si>
    <t>Electronic Wearables</t>
  </si>
  <si>
    <t>Flu</t>
  </si>
  <si>
    <t>Home Environments</t>
  </si>
  <si>
    <t>Lab - Cardiac Marker</t>
  </si>
  <si>
    <t>Lab - POC Chemistry</t>
  </si>
  <si>
    <t>Lab-Allergy</t>
  </si>
  <si>
    <t>Lab-Blood Bank</t>
  </si>
  <si>
    <t>Lab-Chemistry</t>
  </si>
  <si>
    <t>Lab-Coagulation</t>
  </si>
  <si>
    <t>Lab-Hematology</t>
  </si>
  <si>
    <t>Lab-Immunoassay</t>
  </si>
  <si>
    <t>Lab-Lab Services</t>
  </si>
  <si>
    <t>Lab-LC/MS</t>
  </si>
  <si>
    <t>Lab-LIS</t>
  </si>
  <si>
    <t>Lab-Molecular - NW</t>
  </si>
  <si>
    <t>Lab-Molecular - W</t>
  </si>
  <si>
    <t>Lab-Pathology</t>
  </si>
  <si>
    <t>Lab-Urinalysis</t>
  </si>
  <si>
    <t>Rx-Anti-Infectives</t>
  </si>
  <si>
    <t>Rx-Biological/Blood Rx</t>
  </si>
  <si>
    <t>Rx-Cardiology</t>
  </si>
  <si>
    <t>Rx-Core Vaccines</t>
  </si>
  <si>
    <t>Rx-Corticosteroids</t>
  </si>
  <si>
    <t>Rx-Cosmetic</t>
  </si>
  <si>
    <t>Rx-Diabetes</t>
  </si>
  <si>
    <t>Rx-Diagnostic Imaging</t>
  </si>
  <si>
    <t>Rx-General Rx</t>
  </si>
  <si>
    <t>Rx-Injectable Vitamins</t>
  </si>
  <si>
    <t>Rx-Mens Health</t>
  </si>
  <si>
    <t>Rx-Nervous System</t>
  </si>
  <si>
    <t>Rx-Ophthalmic</t>
  </si>
  <si>
    <t>Rx-Rx Services</t>
  </si>
  <si>
    <t>Rx-Specialty Rx</t>
  </si>
  <si>
    <t>Rx-Womens Health</t>
  </si>
  <si>
    <t>Sexual Health Molecular - NW</t>
  </si>
  <si>
    <t>Sexual Health Molecular - W</t>
  </si>
  <si>
    <t>Sexual Health Non-Molecular</t>
  </si>
  <si>
    <t>Therapy Massagers</t>
  </si>
  <si>
    <t>Training Equipment &amp; Supplies</t>
  </si>
  <si>
    <t>Distribution Fees</t>
  </si>
  <si>
    <t>SupplierRollup</t>
  </si>
  <si>
    <t>Status</t>
  </si>
  <si>
    <t>Note</t>
  </si>
  <si>
    <t>Modifier</t>
  </si>
  <si>
    <t>All Private Brand</t>
  </si>
  <si>
    <t>McKesson Brand</t>
  </si>
  <si>
    <t>ABBOTT DIAGNOSTICS</t>
  </si>
  <si>
    <t>Preferred</t>
  </si>
  <si>
    <t>Pyramid Designation</t>
  </si>
  <si>
    <t>ABBOTT POINT OF CARE</t>
  </si>
  <si>
    <t>ALIGNED MEDICAL SOLUTIONS</t>
  </si>
  <si>
    <t>AMERICAN REGENT LABORATORIES</t>
  </si>
  <si>
    <t>ARKRAY USA INC</t>
  </si>
  <si>
    <t>BECTON DICKINSON</t>
  </si>
  <si>
    <t>BINX HEALTH INC</t>
  </si>
  <si>
    <t>BIOMERIEUX INC</t>
  </si>
  <si>
    <t>BIOVENTUS LLC</t>
  </si>
  <si>
    <t>CEPHEID</t>
  </si>
  <si>
    <t>COLOPLAST CORP</t>
  </si>
  <si>
    <t>DJ ORTHOPEDICS LLC</t>
  </si>
  <si>
    <t>DRIVE MEDICAL DESIGN</t>
  </si>
  <si>
    <t>ESSITY HMS NORTH AMERICA INC</t>
  </si>
  <si>
    <t>FIDIA PHARMA USA INC</t>
  </si>
  <si>
    <t>FIRST QUALITY PRODUCTS INC</t>
  </si>
  <si>
    <t>GERI-CARE PHARMACEUTICALS</t>
  </si>
  <si>
    <t>HEMOCUE AMERICA</t>
  </si>
  <si>
    <t>HOLLISTER INC</t>
  </si>
  <si>
    <t>KEDRION BIOPHARMA INC</t>
  </si>
  <si>
    <t>MEDIMMUNE INC</t>
  </si>
  <si>
    <t>MEDTRONIC MITG</t>
  </si>
  <si>
    <t>MEITHEAL PHARMACEUTICALS</t>
  </si>
  <si>
    <t>MILTEX INSTRUMENT (INTEGRA YK)</t>
  </si>
  <si>
    <t>NESTLE HEALTHCARE NUTRITION IN</t>
  </si>
  <si>
    <t>NORTHSTAR RX LLC</t>
  </si>
  <si>
    <t>NUTRICIA NORTH AMERICA</t>
  </si>
  <si>
    <t>PELSTAR LLC</t>
  </si>
  <si>
    <t>SIEMENS MEDICAL SOLUTIONS DIAG</t>
  </si>
  <si>
    <t>SOMERSET PHARMA LLC</t>
  </si>
  <si>
    <t>SUN PHARMACEUTICAL IND INC</t>
  </si>
  <si>
    <t>SYSMEX AMERICA INC</t>
  </si>
  <si>
    <t>TOSOH MEDICS INC</t>
  </si>
  <si>
    <t>VISBY MEDICAL INC</t>
  </si>
  <si>
    <t>ZEVEX INC</t>
  </si>
  <si>
    <t>ZOLL MEDICAL CORP</t>
  </si>
  <si>
    <t>PROFESSIONAL DISPOSABLES INC</t>
  </si>
  <si>
    <t>SUN MED GRP HLDNGS DBA AIRLIFE</t>
  </si>
  <si>
    <t>ABBOTT RAPID DX N AMERICA LLC</t>
  </si>
  <si>
    <t>Strategic</t>
  </si>
  <si>
    <t>AMNEAL/AKYMA PHARMACEUTICALS</t>
  </si>
  <si>
    <t>B BRAUN MEDICAL INC</t>
  </si>
  <si>
    <t>BECKMAN COULTER</t>
  </si>
  <si>
    <t>CARDINAL HEALTH</t>
  </si>
  <si>
    <t>KATE FARMS INC</t>
  </si>
  <si>
    <t>LONG GROVE PHARMACEUTICALS LLC</t>
  </si>
  <si>
    <t>MERCK</t>
  </si>
  <si>
    <t>MIDMARK CORP</t>
  </si>
  <si>
    <t>MODERNA US INC</t>
  </si>
  <si>
    <t>MOLNLYCKE HEALTH CARE</t>
  </si>
  <si>
    <t>ORTHO-CLINICAL DIAGNOSTIC INC</t>
  </si>
  <si>
    <t>QUIDEL CORP</t>
  </si>
  <si>
    <t>SEQIRUS INC</t>
  </si>
  <si>
    <t>WELCH ALLYN</t>
  </si>
  <si>
    <t>MEDLINE INDUSTRIES</t>
  </si>
  <si>
    <t>Red</t>
  </si>
  <si>
    <t>COOPER SURGICAL</t>
  </si>
  <si>
    <t>Based on more than 80 percent of supplier's items having red compensation today.</t>
  </si>
  <si>
    <t>DYNAREX</t>
  </si>
  <si>
    <t>CONMED</t>
  </si>
  <si>
    <t>BARD MEDICAL DIV (UROLOGICAL)</t>
  </si>
  <si>
    <t>STRYKER CORPORATION</t>
  </si>
  <si>
    <t>DARCO INTERNATIONAL INC</t>
  </si>
  <si>
    <t>FISHER HEALTHCARE</t>
  </si>
  <si>
    <t>HEMOSURE INC</t>
  </si>
  <si>
    <t>NIKOMED USA INC</t>
  </si>
  <si>
    <t>SEMPERMED USA INC</t>
  </si>
  <si>
    <t>Category Level 2</t>
  </si>
  <si>
    <t>SUPLR_ROLLUP_DSC</t>
  </si>
  <si>
    <t>RED_COMP_ITEMS</t>
  </si>
  <si>
    <t>ALL_ITEMS</t>
  </si>
  <si>
    <t>Percent Red</t>
  </si>
  <si>
    <t>Consider Red?</t>
  </si>
  <si>
    <t>TIDI PRODUCTS LLC</t>
  </si>
  <si>
    <t>GRAHAM MEDICAL</t>
  </si>
  <si>
    <t>ANSELL HEALTHCARE</t>
  </si>
  <si>
    <t>MOLDEX-METRIC INC</t>
  </si>
  <si>
    <t>FISHER SCIENTIFIC</t>
  </si>
  <si>
    <t>INNOVATIVE HEALTHCARE CORPORAT</t>
  </si>
  <si>
    <t>PHILIPS HEALTHCARE</t>
  </si>
  <si>
    <t>CLARITY DIAGNOSTICS LLC</t>
  </si>
  <si>
    <t>WONDFO USA CO LTD</t>
  </si>
  <si>
    <t>PRESTIGE AMERITECH</t>
  </si>
  <si>
    <t>STANBIO LABORATORY</t>
  </si>
  <si>
    <t>SRI TRANG USA INC</t>
  </si>
  <si>
    <t>BTNX INC</t>
  </si>
  <si>
    <t>GERMAINE LABORATORIES INC</t>
  </si>
  <si>
    <t>JANT PHARMACAL CORPORATION</t>
  </si>
  <si>
    <t>LIFESIGN LLC</t>
  </si>
  <si>
    <t>BABY SOMEDAY INC DBA NATALIST</t>
  </si>
  <si>
    <t>POLYMEDCO CANCER DIAGNOSTIC PR</t>
  </si>
  <si>
    <t>SA SCIENTIFIC LTD</t>
  </si>
  <si>
    <t>CHURCH PRODUCTS INC.</t>
  </si>
  <si>
    <t>MOSIE INC</t>
  </si>
  <si>
    <t>MEDICAL GROUP CARE, LLC</t>
  </si>
  <si>
    <t>SHAMROCK MARKETING CO INC</t>
  </si>
  <si>
    <t>TRONEX INTERNATIONAL INC</t>
  </si>
  <si>
    <t>FRIDABABY LLC</t>
  </si>
  <si>
    <t>--USE WAREHOUSE PRD_SBX_MMS_CLAIMS_WH;</t>
  </si>
  <si>
    <t>WITH CATFLAGS as</t>
  </si>
  <si>
    <t>(</t>
  </si>
  <si>
    <t xml:space="preserve">select </t>
  </si>
  <si>
    <t xml:space="preserve">  t.PROD_FMLY_LVL1_DSC,</t>
  </si>
  <si>
    <t xml:space="preserve">  t.PROD_CTGRY_LVL2_DSC,</t>
  </si>
  <si>
    <t xml:space="preserve">  t.PROD_GRP_LVL3_DSC,</t>
  </si>
  <si>
    <t xml:space="preserve">  t.PL_SALES/(t.NB_SALES + t.PL_SALES) as GRP_PRCNT_BRND_SALES,</t>
  </si>
  <si>
    <t xml:space="preserve">  case when t.PL_SALES &gt; 0 then 'Y' else 'N' end as ANY_MCKB_CTGRY_FLG,</t>
  </si>
  <si>
    <t xml:space="preserve">  --IF WE DOnt have more than 2% of the cat then our offering isn't signficant enough to make judgement on customer.</t>
  </si>
  <si>
    <t xml:space="preserve">  --penetration.</t>
  </si>
  <si>
    <t xml:space="preserve">  case when t.PL_SALES/(t.NB_SALES + t.PL_SALES)  &gt;=.02 then 'Y' else 'N' end as ADJ_MCKB_CTGRY_FLG</t>
  </si>
  <si>
    <t>from (</t>
  </si>
  <si>
    <t xml:space="preserve">  select </t>
  </si>
  <si>
    <t xml:space="preserve">   sa.PROD_FMLY_LVL1_DSC,</t>
  </si>
  <si>
    <t xml:space="preserve">   sa.PROD_CTGRY_LVL2_DSC,</t>
  </si>
  <si>
    <t xml:space="preserve">   sa.PROD_GRP_LVL3_DSC,</t>
  </si>
  <si>
    <t xml:space="preserve">   ROUND(SUM(sa.PRODUCT_SALES),2) AS PRODUCT_SALES,</t>
  </si>
  <si>
    <t xml:space="preserve">   ROUND(SUM(case when sa.PRVT_BRND_FLG = 'Y' then sa.PRODUCT_SALES else 0 end),2) AS PL_SALES,</t>
  </si>
  <si>
    <t xml:space="preserve">   ROUND(SUM(case when sa.PRVT_BRND_FLG = 'Y' then sa.TOT_SELL_GP else 0 end),2) AS PL_SELL_GP,</t>
  </si>
  <si>
    <t xml:space="preserve">   ROUND(SUM(case when sa.PRVT_BRND_FLG = 'Y' then sa.TOTAL_BUYSIDE else 0 end),2) AS PL_BUYSIDE,</t>
  </si>
  <si>
    <t xml:space="preserve">   ROUND(SUM(case when sa.PRVT_BRND_FLG = 'Y' then sa.TOTAL_GP else 0 end),2) AS PL_TOTAL_GP,</t>
  </si>
  <si>
    <t xml:space="preserve">    </t>
  </si>
  <si>
    <t xml:space="preserve">   ROUND(SUM(case when sa.PRVT_BRND_FLG != 'Y' then sa.PRODUCT_SALES else 0 end),2) AS NB_SALES,</t>
  </si>
  <si>
    <t xml:space="preserve">   ROUND(SUM(case when sa.PRVT_BRND_FLG != 'Y' then sa.TOT_SELL_GP else 0 end),2) AS NB_SELL_GP,</t>
  </si>
  <si>
    <t xml:space="preserve">   ROUND(SUM(case when sa.PRVT_BRND_FLG != 'Y' then sa.TOTAL_BUYSIDE else 0 end),2) AS NB_BUYSIDE,</t>
  </si>
  <si>
    <t xml:space="preserve">   ROUND(SUM(case when sa.PRVT_BRND_FLG != 'Y' then sa.TOTAL_GP else 0 end),2) AS NB_TOTAL_GP</t>
  </si>
  <si>
    <t xml:space="preserve">  from PRD_SBX_MMS_DB.SM.DP_NOW_DASH_PBI sa</t>
  </si>
  <si>
    <t xml:space="preserve">    left outer join PRD_PL_MMS_EDW_DB.EDWRPT.V_DIM_PERIOD_MTH pd on pd.FISC_YR_MTH_NUM = sa.fisc_yr_mth_num</t>
  </si>
  <si>
    <t xml:space="preserve">where </t>
  </si>
  <si>
    <t>----===== TIMEFRAME FILTERS =====----</t>
  </si>
  <si>
    <t xml:space="preserve">  pd.ROLL_YR_FLAG in ('PY') /*Filter for rolling 24 month timeframe [PY = Last 12 Months | 2PY = Previous 12 Months]*/</t>
  </si>
  <si>
    <t xml:space="preserve">  </t>
  </si>
  <si>
    <t xml:space="preserve">  group by sa.PROD_FMLY_LVL1_DSC, sa.PROD_CTGRY_LVL2_DSC, sa.PROD_GRP_LVL3_DSC</t>
  </si>
  <si>
    <t xml:space="preserve">  )t</t>
  </si>
  <si>
    <t xml:space="preserve">  where t.NB_SALES + t.PL_SALES &gt; 0</t>
  </si>
  <si>
    <t>)</t>
  </si>
  <si>
    <t>SELECT</t>
  </si>
  <si>
    <t>fw.BUS_PLTFRM,</t>
  </si>
  <si>
    <t>case when already_fs.ORG_ITEM_NUM is not null then 'Already FS to an Item' else 'No FS In Place' end as CURRENT_FS_FLAG,</t>
  </si>
  <si>
    <t>CASE WHEN ((hier.HEALTH_SYSTEM_SEGMENT IN ('N/A', '1') or hier.HEALTH_SYSTEM_SEGMENT is null )</t>
  </si>
  <si>
    <t xml:space="preserve">     AND hier.GVMNT_FLAG = 'NON-GVMNT'</t>
  </si>
  <si>
    <t xml:space="preserve">     AND PHD_BT.PHD_BILL_TO is null</t>
  </si>
  <si>
    <t xml:space="preserve">     AND hier.ECOM_FLG = 'N'</t>
  </si>
  <si>
    <t xml:space="preserve">     AND hier.STRATEGIC_ACCT_FLAG = 'N')</t>
  </si>
  <si>
    <t xml:space="preserve">     THEN 'Y' ELSE 'N' END AS FC_SCOPE_FLG,</t>
  </si>
  <si>
    <t>--hier.HEALTH_SYSTEM_SEGMENT,</t>
  </si>
  <si>
    <t>--hier.GVMNT_FLAG ,</t>
  </si>
  <si>
    <t>--PHD_BT.PHD_BILL_TO,</t>
  </si>
  <si>
    <t>--hier.ECOM_FLG,</t>
  </si>
  <si>
    <t>--hier.STRATEGIC_ACCT_FLAG ,</t>
  </si>
  <si>
    <t xml:space="preserve">     </t>
  </si>
  <si>
    <t>CASE WHEN ci.FOC_CONV_FLG = 'Y' THEN 'Include in Focused Conversion'</t>
  </si>
  <si>
    <t xml:space="preserve">     ELSE CASE WHEN ci.FOC_CONV_FLG = 'N' THEN 'Omit from Focused Conversion'</t>
  </si>
  <si>
    <t xml:space="preserve">     ELSE 'Not Specified'</t>
  </si>
  <si>
    <t xml:space="preserve">  END END AS CM_FOC_CONV_INTENT,</t>
  </si>
  <si>
    <t xml:space="preserve">  CASE WHEN ci.OPT_OUT_FLG = 'Y' THEN 'Include in Opt-out Bundles'</t>
  </si>
  <si>
    <t xml:space="preserve">       ELSE CASE WHEN ci.OPT_OUT_FLG = 'N' THEN 'Omit from Opt-out Bundles'</t>
  </si>
  <si>
    <t xml:space="preserve">       ELSE 'Not Specified'</t>
  </si>
  <si>
    <t xml:space="preserve">  END END AS CM_OPT_OUT_INTENT,</t>
  </si>
  <si>
    <t>fw.PROD_FMLY_LVL1_DSC,</t>
  </si>
  <si>
    <t>fw.PROD_CTGRY_LVL2_DSC,</t>
  </si>
  <si>
    <t>fw.PROD_GRP_LVL3_DSC,</t>
  </si>
  <si>
    <t>fw.PROD_SUB_CTGRY_LVL4_DSC,</t>
  </si>
  <si>
    <t>catflags.ANY_MCKB_CTGRY_FLG,</t>
  </si>
  <si>
    <t>catflags.ADJ_MCKB_CTGRY_FLG,</t>
  </si>
  <si>
    <t>fw.ITEM_E1_NUM,</t>
  </si>
  <si>
    <t>fw.SUPLR_ROLLUP_DSC,</t>
  </si>
  <si>
    <t>pref.PREF_SUPLR_FLG,</t>
  </si>
  <si>
    <t>fw.CTLG_NUM,</t>
  </si>
  <si>
    <t>fw.ITEM_DSC,</t>
  </si>
  <si>
    <t>fw.COMP_CTGRY_DSC,</t>
  </si>
  <si>
    <t>fw.PRVT_BRND_FLG,</t>
  </si>
  <si>
    <t>fw.GNRC_FLG,</t>
  </si>
  <si>
    <t>sum (L12M_SALES) AS L12M_SALES,</t>
  </si>
  <si>
    <t>sum (MCKBRAND_SALES) AS MCKBRAND_SALES,</t>
  </si>
  <si>
    <t>sum (OPTIMIZED_RX_SALES) AS OPTIMIZED_RX_SALES,</t>
  </si>
  <si>
    <t>sum (PREFERRED_SUPP_SALES) AS PREFERRED_SUPP_SALES,</t>
  </si>
  <si>
    <t>sum (OTHER_ITEM_SALES) AS OTHER_ITEM_SALES,</t>
  </si>
  <si>
    <t>sum (CLUSTERED_SALES) AS CLUSTERED_SALES,</t>
  </si>
  <si>
    <t>sum (HAS_PL_ALTS) AS HAS_PL_ALTS,</t>
  </si>
  <si>
    <t>sum (HAS_PL_CE_ALTS) AS HAS_PL_CE_ALTS,</t>
  </si>
  <si>
    <t>sum (ALREADY_FORCESUBBED_SALES) AS ALREADY_FORCESUBBED_SALES,</t>
  </si>
  <si>
    <t>sum (ST_ALREADY_PURCH_SUB) AS ST_ALREADY_PURCH_SUB,</t>
  </si>
  <si>
    <t>sum (BETTER_SUB_COST_FAILURE) AS BETTER_SUB_COST_FAILURE,</t>
  </si>
  <si>
    <t>sum (WORSE_REP_COST_MAC_OK_FAILURE) AS WORSE_REP_COST_MAC_OK_FAILURE,</t>
  </si>
  <si>
    <t>sum (WORSE_REP_COST_FAILURE) AS WORSE_REP_COST_FAILURE,</t>
  </si>
  <si>
    <t>sum (ACTIVE_CONVERSION_OPP) AS ACTIVE_CONVERSION_OPP</t>
  </si>
  <si>
    <t>FROM PRD_SBX_MMS_DB.MERCH.XREF_TO_MCKBRAND_CONV_WALK fw</t>
  </si>
  <si>
    <t>left outer join</t>
  </si>
  <si>
    <t>/*PREFERRED SUPPLIER FLAG*/</t>
  </si>
  <si>
    <t>(select distinct SUPLR_ROLLUP_DSC, 'Y' AS PREF_SUPLR_FLG from PRD_SBX_MMS_DB.SM.PREFERRED_SUPPLIERS</t>
  </si>
  <si>
    <t xml:space="preserve">   where (PC_DESIGNATION = 'PREFERRED' OR EC_DESIGNATION = 'PREFERRED') AND PREF_FY_YEAR = 2025) pref on fw.SUPLR_ROLLUP_DSC = pref.SUPLR_ROLLUP_DSC</t>
  </si>
  <si>
    <t>left outer join CATFLAGS on fw.PROD_FMLY_LVL1_DSC = catflags.PROD_FMLY_LVL1_DSC AND fw.PROD_CTGRY_LVL2_DSC = catflags.PROD_CTGRY_LVL2_DSC AND fw.PROD_GRP_LVL3_DSC = catflags.PROD_GRP_LVL3_DSC</t>
  </si>
  <si>
    <t>/* CONVERSION INTENT */</t>
  </si>
  <si>
    <t>LEFT JOIN (</t>
  </si>
  <si>
    <t xml:space="preserve">  SELECT DISTINCT </t>
  </si>
  <si>
    <t xml:space="preserve">    CM_NAME,</t>
  </si>
  <si>
    <t xml:space="preserve">    PROD_CTGRY_LVL2_DSC, </t>
  </si>
  <si>
    <t xml:space="preserve">    PROD_GRP_LVL3_DSC, </t>
  </si>
  <si>
    <t xml:space="preserve">    PROD_SUB_CTGRY_LVL4_DSC,</t>
  </si>
  <si>
    <t xml:space="preserve">    SUPLR_ROLLUP_DSC,</t>
  </si>
  <si>
    <t xml:space="preserve">    PRVT_BRND_FLG,</t>
  </si>
  <si>
    <t xml:space="preserve">  PREF_SUPLR_FLG,</t>
  </si>
  <si>
    <t xml:space="preserve">  PREF_SUPLR_BUS_PLTFRM,</t>
  </si>
  <si>
    <t xml:space="preserve">  FOC_CONV_FLG,</t>
  </si>
  <si>
    <t xml:space="preserve">    OPT_OUT_FLG</t>
  </si>
  <si>
    <t xml:space="preserve">  FROM PRD_SBX_MMS_DB.MERCH.FOC_CONV_SUBCAT_SUPPLIER_CONV_INTENT</t>
  </si>
  <si>
    <t>) ci</t>
  </si>
  <si>
    <t>ON ci.PROD_CTGRY_LVL2_DSC = fw.PROD_CTGRY_LVL2_DSC</t>
  </si>
  <si>
    <t>AND ci.PROD_GRP_LVL3_DSC = fw.PROD_GRP_LVL3_DSC</t>
  </si>
  <si>
    <t>AND ci.PROD_SUB_CTGRY_LVL4_DSC = fw.PROD_SUB_CTGRY_LVL4_DSC</t>
  </si>
  <si>
    <t>AND ci.SUPLR_ROLLUP_DSC = fw.SUPLR_ROLLUP_DSC</t>
  </si>
  <si>
    <t>AND ci.PRVT_BRND_FLG = fw.PRVT_BRND_FLG</t>
  </si>
  <si>
    <t xml:space="preserve">  /* HIGHEST FLAG FOR HS */  </t>
  </si>
  <si>
    <t xml:space="preserve">  LEFT JOIN (</t>
  </si>
  <si>
    <t xml:space="preserve">    SELECT DISTINCT </t>
  </si>
  <si>
    <t xml:space="preserve">      hier.BUS_PLTFRM,</t>
  </si>
  <si>
    <t xml:space="preserve">      hier.HIGHEST_FLAG, </t>
  </si>
  <si>
    <t xml:space="preserve">      hier.HIGHEST_ROLLUP_NAME, </t>
  </si>
  <si>
    <t xml:space="preserve">      hier.HEALTH_SYSTEM_SEGMENT, </t>
  </si>
  <si>
    <t xml:space="preserve">      hier.HEALTH_SYSTEM_GRANDPARENT_NAME,</t>
  </si>
  <si>
    <t xml:space="preserve">      hier.MSTR_GRP_NUM, </t>
  </si>
  <si>
    <t xml:space="preserve">      hier.MSTR_GRP_NAME, </t>
  </si>
  <si>
    <t xml:space="preserve">      hier.MSTR_GRP_ADMIN_NAME,</t>
  </si>
  <si>
    <t xml:space="preserve">      hier.E1_BILL_TO_NUMBER, </t>
  </si>
  <si>
    <t xml:space="preserve">      hier.E1_SHIP_TO_NUMBER,</t>
  </si>
  <si>
    <t xml:space="preserve">      hier.GVMNT_FLAG, </t>
  </si>
  <si>
    <t xml:space="preserve">      hier.CUST_SGMNT_MKT_DSC, </t>
  </si>
  <si>
    <t xml:space="preserve">      hier.CUST_SGMNT_SETTNG_DSC, </t>
  </si>
  <si>
    <t xml:space="preserve">      hier.CUST_SGMNT_DFLT_TYPE_DSC, </t>
  </si>
  <si>
    <t xml:space="preserve">      hier.ECOM_FLG, </t>
  </si>
  <si>
    <t xml:space="preserve">      hier.ONCOLOGY_FLAG, </t>
  </si>
  <si>
    <t xml:space="preserve">      hier.STRATEGIC_ACCT_FLAG, </t>
  </si>
  <si>
    <t xml:space="preserve">      hier.ENTERPRISE_FLAG, </t>
  </si>
  <si>
    <t xml:space="preserve">      hier.SPCLTY_DSC, </t>
  </si>
  <si>
    <t xml:space="preserve">      hier.CUST_TYPE_CD,</t>
  </si>
  <si>
    <t xml:space="preserve">      hier.ACTV_FLG</t>
  </si>
  <si>
    <t xml:space="preserve">    FROM PRD_SBX_MMS_DB.SM.CAT_ANLSYS_CUST_HIERARCHY hier</t>
  </si>
  <si>
    <t xml:space="preserve">    JOIN PRD_PL_MMS_EDW_DB.EDWRPT.V_DIM_CUST_CURR cust</t>
  </si>
  <si>
    <t xml:space="preserve">    ON hier.DIM_CUST_CURR_ID = cust.DIM_CUST_CURR_ID </t>
  </si>
  <si>
    <t xml:space="preserve">    WHERE hier.SYS_PLTFRM = 'E1'</t>
  </si>
  <si>
    <t xml:space="preserve">      AND cust.SYS_PLTFRM = 'E1'</t>
  </si>
  <si>
    <t xml:space="preserve">      AND hier.E1_SHIP_TO_NUMBER != 0</t>
  </si>
  <si>
    <t xml:space="preserve">  ) hier </t>
  </si>
  <si>
    <t xml:space="preserve">  on</t>
  </si>
  <si>
    <t xml:space="preserve">  hier.E1_SHIP_TO_NUMBER = fw.CUST_E1_NUM  </t>
  </si>
  <si>
    <t xml:space="preserve">  /* PHD BT */</t>
  </si>
  <si>
    <t xml:space="preserve">    -- Distinct customer numbers that have an ID matching a PHD BT ID</t>
  </si>
  <si>
    <t xml:space="preserve">    SELECT DISTINCT c.CUST_NUM AS PHD_BILL_TO</t>
  </si>
  <si>
    <t xml:space="preserve">    FROM PRD_PL_MMS_EDW_DB.EDWRPT.V_DIM_CUST_CURR c</t>
  </si>
  <si>
    <t xml:space="preserve">    JOIN (</t>
  </si>
  <si>
    <t xml:space="preserve">      -- Distinct BT IDs for patient/PHD customers</t>
  </si>
  <si>
    <t xml:space="preserve">      SELECT DISTINCT c.DIM_BILL_TO_CUST_CURR_ID</t>
  </si>
  <si>
    <t xml:space="preserve">      FROM PRD_PL_MMS_EDW_DB.EDWRPT.V_DIM_CUST_CURR c</t>
  </si>
  <si>
    <t xml:space="preserve">      WHERE (PTNT_FLG = 'Y'  OR HC_DLVRY_CD IN ('PHD', 'HD'))</t>
  </si>
  <si>
    <t xml:space="preserve">        AND c.ACTV_FLG = 'Y'</t>
  </si>
  <si>
    <t xml:space="preserve">        AND c.SYS_PLTFRM = 'E1'</t>
  </si>
  <si>
    <t xml:space="preserve">      ) phd_bt</t>
  </si>
  <si>
    <t xml:space="preserve">      ON c.DIM_CUST_CURR_ID = phd_bt.DIM_BILL_TO_CUST_CURR_ID</t>
  </si>
  <si>
    <t xml:space="preserve">    WHERE c.SYS_PLTFRM = 'E1'</t>
  </si>
  <si>
    <t xml:space="preserve">  ) phd_bt</t>
  </si>
  <si>
    <t xml:space="preserve">  ON phd_bt.PHD_BILL_TO = fw.cust_e1_num</t>
  </si>
  <si>
    <t xml:space="preserve">  /* ALREADY FORCE SUBBED FROM ORG ITEM CHECK */</t>
  </si>
  <si>
    <t xml:space="preserve">    SELECT DISTINCT SHIP_TO, ORG_ITEM_NUM</t>
  </si>
  <si>
    <t xml:space="preserve">    FROM PRD_SBX_MMS_DB.MERCH.ALL_ACTIVE_FORCED_SUBS</t>
  </si>
  <si>
    <t xml:space="preserve">    WHERE SUB_DISCTND_FLG = 'N'</t>
  </si>
  <si>
    <t xml:space="preserve">  ) already_fs</t>
  </si>
  <si>
    <t xml:space="preserve">  ON fw.cust_e1_num = already_fs.SHIP_TO</t>
  </si>
  <si>
    <t xml:space="preserve">  AND fw.ITEM_E1_NUM = already_fs.ORG_ITEM_NUM</t>
  </si>
  <si>
    <t>group by all</t>
  </si>
  <si>
    <t>Penetration</t>
  </si>
  <si>
    <t>Total market $m</t>
  </si>
  <si>
    <t>Total Market Growth %</t>
  </si>
  <si>
    <t>MMS Market Share %</t>
  </si>
  <si>
    <t>MMS GP $m</t>
  </si>
  <si>
    <t xml:space="preserve">MMS GP % </t>
  </si>
  <si>
    <t>MB Sales $m</t>
  </si>
  <si>
    <t>MB GP $m</t>
  </si>
  <si>
    <t>MB GP %</t>
  </si>
  <si>
    <t>MB outpace MMS %</t>
  </si>
  <si>
    <t>MMS outpace Market %</t>
  </si>
  <si>
    <t>MB GP higher than MMS GP %</t>
  </si>
  <si>
    <t xml:space="preserve">MMS Growth </t>
  </si>
  <si>
    <t>MB Growth</t>
  </si>
  <si>
    <t>%</t>
  </si>
  <si>
    <t>Coverage</t>
  </si>
  <si>
    <t>Static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</si>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</sst>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ptos Narrow"/>
      <family val="2"/>
    </font>
    <font>
      <sz val="10"/>
      <name val="Tahoma"/>
      <family val="2"/>
    </font>
    <font>
      <sz val="11"/>
      <name val="Calibri"/>
      <family val="2"/>
      <scheme val="minor"/>
    </font>
    <font>
      <b/>
      <sz val="8"/>
      <color rgb="FF3F3B2D"/>
      <name val="Libre Franklin"/>
    </font>
    <font>
      <b/>
      <sz val="8"/>
      <color rgb="FFFFFFFF"/>
      <name val="Libre Franklin"/>
    </font>
    <font>
      <sz val="8"/>
      <color rgb="FF000000"/>
      <name val="Libre Franklin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F3B2D"/>
        <bgColor indexed="64"/>
      </patternFill>
    </fill>
    <fill>
      <patternFill patternType="solid">
        <fgColor rgb="FF005A8C"/>
        <bgColor indexed="64"/>
      </patternFill>
    </fill>
    <fill>
      <patternFill patternType="solid">
        <fgColor rgb="FF0084D4"/>
        <bgColor indexed="64"/>
      </patternFill>
    </fill>
    <fill>
      <patternFill patternType="solid">
        <fgColor rgb="FF00A497"/>
        <bgColor indexed="64"/>
      </patternFill>
    </fill>
    <fill>
      <patternFill patternType="solid">
        <fgColor rgb="FFE7EDF7"/>
        <bgColor indexed="64"/>
      </patternFill>
    </fill>
    <fill>
      <patternFill patternType="solid">
        <fgColor rgb="FF6BCAFF"/>
        <bgColor indexed="64"/>
      </patternFill>
    </fill>
    <fill>
      <patternFill patternType="solid">
        <fgColor rgb="FF14335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7D755A"/>
      </right>
      <top style="medium">
        <color rgb="FF0084D4"/>
      </top>
      <bottom/>
      <diagonal/>
    </border>
    <border>
      <left style="medium">
        <color rgb="FF7D755A"/>
      </left>
      <right/>
      <top style="medium">
        <color rgb="FF0084D4"/>
      </top>
      <bottom/>
      <diagonal/>
    </border>
    <border>
      <left/>
      <right/>
      <top style="medium">
        <color rgb="FF0084D4"/>
      </top>
      <bottom/>
      <diagonal/>
    </border>
    <border>
      <left style="medium">
        <color rgb="FF7D755A"/>
      </left>
      <right/>
      <top/>
      <bottom/>
      <diagonal/>
    </border>
    <border>
      <left/>
      <right/>
      <top/>
      <bottom style="medium">
        <color rgb="FF0084D4"/>
      </bottom>
      <diagonal/>
    </border>
    <border>
      <left style="medium">
        <color rgb="FF7D755A"/>
      </left>
      <right style="medium">
        <color rgb="FF7D755A"/>
      </right>
      <top style="medium">
        <color rgb="FF0084D4"/>
      </top>
      <bottom/>
      <diagonal/>
    </border>
    <border>
      <left style="medium">
        <color rgb="FF7D755A"/>
      </left>
      <right style="medium">
        <color rgb="FF7D755A"/>
      </right>
      <top/>
      <bottom style="medium">
        <color rgb="FF0084D4"/>
      </bottom>
      <diagonal/>
    </border>
    <border>
      <left/>
      <right style="medium">
        <color rgb="FF7D755A"/>
      </right>
      <top/>
      <bottom/>
      <diagonal/>
    </border>
    <border>
      <left/>
      <right style="medium">
        <color rgb="FF7D755A"/>
      </right>
      <top/>
      <bottom style="medium">
        <color rgb="FF0084D4"/>
      </bottom>
      <diagonal/>
    </border>
    <border>
      <left style="medium">
        <color rgb="FF7D755A"/>
      </left>
      <right/>
      <top/>
      <bottom style="medium">
        <color rgb="FF0084D4"/>
      </bottom>
      <diagonal/>
    </border>
    <border>
      <left/>
      <right style="medium">
        <color rgb="FF7D755A"/>
      </right>
      <top style="medium">
        <color rgb="FF0084D4"/>
      </top>
      <bottom style="medium">
        <color rgb="FF0084D4"/>
      </bottom>
      <diagonal/>
    </border>
    <border>
      <left style="medium">
        <color rgb="FF7D755A"/>
      </left>
      <right/>
      <top style="medium">
        <color rgb="FF0084D4"/>
      </top>
      <bottom style="medium">
        <color rgb="FF0084D4"/>
      </bottom>
      <diagonal/>
    </border>
    <border>
      <left/>
      <right/>
      <top style="medium">
        <color rgb="FF0084D4"/>
      </top>
      <bottom style="medium">
        <color rgb="FF0084D4"/>
      </bottom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3F3B2D"/>
      </bottom>
      <diagonal/>
    </border>
    <border>
      <left style="medium">
        <color rgb="FFF2F2F2"/>
      </left>
      <right style="medium">
        <color rgb="FF3F3B2D"/>
      </right>
      <top style="medium">
        <color rgb="FFF2F2F2"/>
      </top>
      <bottom style="medium">
        <color rgb="FF3F3B2D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7" fillId="0" borderId="0"/>
    <xf numFmtId="0" fontId="6" fillId="0" borderId="0"/>
    <xf numFmtId="0" fontId="6" fillId="0" borderId="0"/>
    <xf numFmtId="0" fontId="7" fillId="0" borderId="0"/>
  </cellStyleXfs>
  <cellXfs count="72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0" fontId="2" fillId="2" borderId="0" xfId="0" applyFont="1" applyFill="1"/>
    <xf numFmtId="164" fontId="2" fillId="2" borderId="1" xfId="0" applyNumberFormat="1" applyFont="1" applyFill="1" applyBorder="1"/>
    <xf numFmtId="9" fontId="0" fillId="0" borderId="0" xfId="0" applyNumberFormat="1"/>
    <xf numFmtId="9" fontId="2" fillId="2" borderId="1" xfId="1" applyFont="1" applyFill="1" applyBorder="1"/>
    <xf numFmtId="0" fontId="2" fillId="3" borderId="0" xfId="0" applyFont="1" applyFill="1"/>
    <xf numFmtId="44" fontId="0" fillId="0" borderId="0" xfId="0" applyNumberFormat="1"/>
    <xf numFmtId="0" fontId="2" fillId="3" borderId="0" xfId="0" applyFont="1" applyFill="1" applyAlignment="1">
      <alignment wrapText="1"/>
    </xf>
    <xf numFmtId="164" fontId="2" fillId="3" borderId="1" xfId="0" applyNumberFormat="1" applyFont="1" applyFill="1" applyBorder="1"/>
    <xf numFmtId="9" fontId="0" fillId="4" borderId="0" xfId="1" applyFont="1" applyFill="1"/>
    <xf numFmtId="44" fontId="0" fillId="0" borderId="0" xfId="2" applyFont="1"/>
    <xf numFmtId="0" fontId="0" fillId="0" borderId="2" xfId="0" applyBorder="1"/>
    <xf numFmtId="9" fontId="0" fillId="0" borderId="2" xfId="0" applyNumberFormat="1" applyBorder="1"/>
    <xf numFmtId="0" fontId="2" fillId="0" borderId="2" xfId="0" applyFont="1" applyBorder="1"/>
    <xf numFmtId="164" fontId="0" fillId="0" borderId="2" xfId="0" applyNumberFormat="1" applyBorder="1"/>
    <xf numFmtId="9" fontId="0" fillId="0" borderId="2" xfId="1" applyFont="1" applyFill="1" applyBorder="1"/>
    <xf numFmtId="0" fontId="2" fillId="0" borderId="2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3" fillId="5" borderId="0" xfId="0" applyFont="1" applyFill="1"/>
    <xf numFmtId="0" fontId="0" fillId="6" borderId="0" xfId="0" applyFill="1"/>
    <xf numFmtId="9" fontId="10" fillId="11" borderId="4" xfId="0" applyNumberFormat="1" applyFont="1" applyFill="1" applyBorder="1" applyAlignment="1">
      <alignment horizontal="center" wrapText="1" readingOrder="1"/>
    </xf>
    <xf numFmtId="0" fontId="10" fillId="11" borderId="5" xfId="0" applyFont="1" applyFill="1" applyBorder="1" applyAlignment="1">
      <alignment horizontal="center" wrapText="1" readingOrder="1"/>
    </xf>
    <xf numFmtId="10" fontId="10" fillId="11" borderId="5" xfId="0" applyNumberFormat="1" applyFont="1" applyFill="1" applyBorder="1" applyAlignment="1">
      <alignment horizontal="center" wrapText="1" readingOrder="1"/>
    </xf>
    <xf numFmtId="9" fontId="10" fillId="11" borderId="5" xfId="0" applyNumberFormat="1" applyFont="1" applyFill="1" applyBorder="1" applyAlignment="1">
      <alignment horizontal="center" wrapText="1" readingOrder="1"/>
    </xf>
    <xf numFmtId="0" fontId="9" fillId="7" borderId="8" xfId="0" applyFont="1" applyFill="1" applyBorder="1" applyAlignment="1">
      <alignment horizontal="center" vertical="center" wrapText="1" readingOrder="1"/>
    </xf>
    <xf numFmtId="0" fontId="9" fillId="7" borderId="9" xfId="0" applyFont="1" applyFill="1" applyBorder="1" applyAlignment="1">
      <alignment horizontal="center" vertical="center" wrapText="1" readingOrder="1"/>
    </xf>
    <xf numFmtId="0" fontId="10" fillId="11" borderId="3" xfId="0" applyFont="1" applyFill="1" applyBorder="1" applyAlignment="1">
      <alignment horizontal="left" wrapText="1" readingOrder="1"/>
    </xf>
    <xf numFmtId="0" fontId="10" fillId="0" borderId="10" xfId="0" applyFont="1" applyBorder="1" applyAlignment="1">
      <alignment horizontal="left" wrapText="1" readingOrder="1"/>
    </xf>
    <xf numFmtId="9" fontId="10" fillId="0" borderId="6" xfId="0" applyNumberFormat="1" applyFont="1" applyBorder="1" applyAlignment="1">
      <alignment horizontal="center" wrapText="1" readingOrder="1"/>
    </xf>
    <xf numFmtId="9" fontId="10" fillId="0" borderId="0" xfId="0" applyNumberFormat="1" applyFont="1" applyAlignment="1">
      <alignment horizontal="center" wrapText="1" readingOrder="1"/>
    </xf>
    <xf numFmtId="0" fontId="10" fillId="0" borderId="0" xfId="0" applyFont="1" applyAlignment="1">
      <alignment horizontal="center" wrapText="1" readingOrder="1"/>
    </xf>
    <xf numFmtId="10" fontId="10" fillId="0" borderId="0" xfId="0" applyNumberFormat="1" applyFont="1" applyAlignment="1">
      <alignment horizontal="center" wrapText="1" readingOrder="1"/>
    </xf>
    <xf numFmtId="0" fontId="10" fillId="11" borderId="10" xfId="0" applyFont="1" applyFill="1" applyBorder="1" applyAlignment="1">
      <alignment horizontal="left" wrapText="1" readingOrder="1"/>
    </xf>
    <xf numFmtId="9" fontId="10" fillId="11" borderId="6" xfId="0" applyNumberFormat="1" applyFont="1" applyFill="1" applyBorder="1" applyAlignment="1">
      <alignment horizontal="center" wrapText="1" readingOrder="1"/>
    </xf>
    <xf numFmtId="9" fontId="10" fillId="11" borderId="0" xfId="0" applyNumberFormat="1" applyFont="1" applyFill="1" applyAlignment="1">
      <alignment horizontal="center" wrapText="1" readingOrder="1"/>
    </xf>
    <xf numFmtId="0" fontId="10" fillId="11" borderId="0" xfId="0" applyFont="1" applyFill="1" applyAlignment="1">
      <alignment horizontal="center" wrapText="1" readingOrder="1"/>
    </xf>
    <xf numFmtId="10" fontId="10" fillId="11" borderId="0" xfId="0" applyNumberFormat="1" applyFont="1" applyFill="1" applyAlignment="1">
      <alignment horizontal="center" wrapText="1" readingOrder="1"/>
    </xf>
    <xf numFmtId="0" fontId="10" fillId="11" borderId="11" xfId="0" applyFont="1" applyFill="1" applyBorder="1" applyAlignment="1">
      <alignment horizontal="left" wrapText="1" readingOrder="1"/>
    </xf>
    <xf numFmtId="9" fontId="10" fillId="11" borderId="12" xfId="0" applyNumberFormat="1" applyFont="1" applyFill="1" applyBorder="1" applyAlignment="1">
      <alignment horizontal="center" wrapText="1" readingOrder="1"/>
    </xf>
    <xf numFmtId="9" fontId="10" fillId="11" borderId="7" xfId="0" applyNumberFormat="1" applyFont="1" applyFill="1" applyBorder="1" applyAlignment="1">
      <alignment horizontal="center" wrapText="1" readingOrder="1"/>
    </xf>
    <xf numFmtId="0" fontId="10" fillId="11" borderId="7" xfId="0" applyFont="1" applyFill="1" applyBorder="1" applyAlignment="1">
      <alignment horizontal="center" wrapText="1" readingOrder="1"/>
    </xf>
    <xf numFmtId="10" fontId="10" fillId="11" borderId="7" xfId="0" applyNumberFormat="1" applyFont="1" applyFill="1" applyBorder="1" applyAlignment="1">
      <alignment horizontal="center" wrapText="1" readingOrder="1"/>
    </xf>
    <xf numFmtId="0" fontId="10" fillId="0" borderId="13" xfId="0" applyFont="1" applyBorder="1" applyAlignment="1">
      <alignment horizontal="left" wrapText="1" readingOrder="1"/>
    </xf>
    <xf numFmtId="9" fontId="10" fillId="0" borderId="14" xfId="0" applyNumberFormat="1" applyFont="1" applyBorder="1" applyAlignment="1">
      <alignment horizontal="center" wrapText="1" readingOrder="1"/>
    </xf>
    <xf numFmtId="9" fontId="10" fillId="0" borderId="15" xfId="0" applyNumberFormat="1" applyFont="1" applyBorder="1" applyAlignment="1">
      <alignment horizontal="center" wrapText="1" readingOrder="1"/>
    </xf>
    <xf numFmtId="0" fontId="10" fillId="0" borderId="15" xfId="0" applyFont="1" applyBorder="1" applyAlignment="1">
      <alignment horizontal="center" wrapText="1" readingOrder="1"/>
    </xf>
    <xf numFmtId="10" fontId="10" fillId="0" borderId="15" xfId="0" applyNumberFormat="1" applyFont="1" applyBorder="1" applyAlignment="1">
      <alignment horizontal="center" wrapText="1" readingOrder="1"/>
    </xf>
    <xf numFmtId="0" fontId="10" fillId="0" borderId="11" xfId="0" applyFont="1" applyBorder="1" applyAlignment="1">
      <alignment horizontal="left" wrapText="1" readingOrder="1"/>
    </xf>
    <xf numFmtId="9" fontId="10" fillId="0" borderId="12" xfId="0" applyNumberFormat="1" applyFont="1" applyBorder="1" applyAlignment="1">
      <alignment horizontal="center" wrapText="1" readingOrder="1"/>
    </xf>
    <xf numFmtId="9" fontId="10" fillId="0" borderId="7" xfId="0" applyNumberFormat="1" applyFont="1" applyBorder="1" applyAlignment="1">
      <alignment horizontal="center" wrapText="1" readingOrder="1"/>
    </xf>
    <xf numFmtId="0" fontId="10" fillId="0" borderId="7" xfId="0" applyFont="1" applyBorder="1" applyAlignment="1">
      <alignment horizontal="center" wrapText="1" readingOrder="1"/>
    </xf>
    <xf numFmtId="10" fontId="10" fillId="0" borderId="7" xfId="0" applyNumberFormat="1" applyFont="1" applyBorder="1" applyAlignment="1">
      <alignment horizontal="center" wrapText="1" readingOrder="1"/>
    </xf>
    <xf numFmtId="0" fontId="9" fillId="10" borderId="8" xfId="0" applyFont="1" applyFill="1" applyBorder="1" applyAlignment="1">
      <alignment horizontal="center" vertical="center" wrapText="1" readingOrder="1"/>
    </xf>
    <xf numFmtId="0" fontId="9" fillId="10" borderId="9" xfId="0" applyFont="1" applyFill="1" applyBorder="1" applyAlignment="1">
      <alignment horizontal="center" vertical="center" wrapText="1" readingOrder="1"/>
    </xf>
    <xf numFmtId="0" fontId="9" fillId="13" borderId="8" xfId="0" applyFont="1" applyFill="1" applyBorder="1" applyAlignment="1">
      <alignment horizontal="center" vertical="center" wrapText="1" readingOrder="1"/>
    </xf>
    <xf numFmtId="0" fontId="9" fillId="13" borderId="9" xfId="0" applyFont="1" applyFill="1" applyBorder="1" applyAlignment="1">
      <alignment horizontal="center" vertical="center" wrapText="1" readingOrder="1"/>
    </xf>
    <xf numFmtId="0" fontId="9" fillId="9" borderId="8" xfId="0" applyFont="1" applyFill="1" applyBorder="1" applyAlignment="1">
      <alignment horizontal="center" vertical="center" wrapText="1" readingOrder="1"/>
    </xf>
    <xf numFmtId="0" fontId="9" fillId="9" borderId="9" xfId="0" applyFont="1" applyFill="1" applyBorder="1" applyAlignment="1">
      <alignment horizontal="center" vertical="center" wrapText="1" readingOrder="1"/>
    </xf>
    <xf numFmtId="0" fontId="9" fillId="12" borderId="8" xfId="0" applyFont="1" applyFill="1" applyBorder="1" applyAlignment="1">
      <alignment horizontal="center" vertical="center" wrapText="1" readingOrder="1"/>
    </xf>
    <xf numFmtId="0" fontId="9" fillId="12" borderId="9" xfId="0" applyFont="1" applyFill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9" fillId="8" borderId="8" xfId="0" applyFont="1" applyFill="1" applyBorder="1" applyAlignment="1">
      <alignment horizontal="center" vertical="center" wrapText="1" readingOrder="1"/>
    </xf>
    <xf numFmtId="0" fontId="9" fillId="8" borderId="9" xfId="0" applyFont="1" applyFill="1" applyBorder="1" applyAlignment="1">
      <alignment horizontal="center" vertical="center" wrapText="1" readingOrder="1"/>
    </xf>
    <xf numFmtId="9" fontId="10" fillId="0" borderId="16" xfId="0" applyNumberFormat="1" applyFont="1" applyBorder="1" applyAlignment="1">
      <alignment horizontal="center" wrapText="1" readingOrder="1"/>
    </xf>
    <xf numFmtId="9" fontId="10" fillId="0" borderId="17" xfId="0" applyNumberFormat="1" applyFont="1" applyBorder="1" applyAlignment="1">
      <alignment horizontal="center" wrapText="1" readingOrder="1"/>
    </xf>
  </cellXfs>
  <cellStyles count="8">
    <cellStyle name="Currency" xfId="2" builtinId="4"/>
    <cellStyle name="Normal" xfId="0" builtinId="0"/>
    <cellStyle name="Normal 2" xfId="3" xr:uid="{FCA29D50-F8E6-41C4-B4D2-D49A8AEB2BFB}"/>
    <cellStyle name="Normal 3" xfId="4" xr:uid="{E9D7F283-2B58-4F05-8014-9EF728BB7D12}"/>
    <cellStyle name="Normal 31" xfId="7" xr:uid="{094D8D00-9868-4F55-963D-31C366044B6A}"/>
    <cellStyle name="Normal 32" xfId="6" xr:uid="{317152CC-256D-4FE9-A845-728BD472A5E3}"/>
    <cellStyle name="Normal 33" xfId="5" xr:uid="{19412870-7387-4795-AEDA-62125CEB6CE1}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73A1-3284-4D4E-84D6-74387163792A}">
  <dimension ref="A1:O107"/>
  <sheetViews>
    <sheetView workbookViewId="0">
      <selection activeCell="A20" sqref="A20"/>
    </sheetView>
  </sheetViews>
  <sheetFormatPr defaultRowHeight="14.5" x14ac:dyDescent="0.35"/>
  <cols>
    <col min="1" max="1" width="30.453125" bestFit="1" customWidth="1"/>
    <col min="2" max="2" width="18" bestFit="1" customWidth="1"/>
    <col min="3" max="3" width="24" bestFit="1" customWidth="1"/>
    <col min="4" max="4" width="10.54296875" bestFit="1" customWidth="1"/>
    <col min="5" max="5" width="27.36328125" bestFit="1" customWidth="1"/>
    <col min="6" max="6" width="26.6328125" bestFit="1" customWidth="1"/>
    <col min="7" max="7" width="21.36328125" bestFit="1" customWidth="1"/>
    <col min="8" max="8" width="29.6328125" bestFit="1" customWidth="1"/>
    <col min="9" max="9" width="26.6328125" bestFit="1" customWidth="1"/>
    <col min="10" max="10" width="23.6328125" bestFit="1" customWidth="1"/>
    <col min="11" max="11" width="19.6328125" bestFit="1" customWidth="1"/>
    <col min="12" max="12" width="14" bestFit="1" customWidth="1"/>
    <col min="14" max="14" width="33" bestFit="1" customWidth="1"/>
    <col min="15" max="15" width="12.54296875" bestFit="1" customWidth="1"/>
  </cols>
  <sheetData>
    <row r="1" spans="1:15" x14ac:dyDescent="0.35">
      <c r="N1" s="16" t="s">
        <v>0</v>
      </c>
      <c r="O1" s="14"/>
    </row>
    <row r="2" spans="1:15" ht="29" x14ac:dyDescent="0.35">
      <c r="A2" s="5" t="s">
        <v>1</v>
      </c>
      <c r="B2" s="5">
        <f>SUM(B4:B107)</f>
        <v>7678313368.6499996</v>
      </c>
      <c r="C2" s="5">
        <f>SUM(C4:C107)</f>
        <v>1025874615.09</v>
      </c>
      <c r="D2" s="7">
        <f>C2/B2</f>
        <v>0.1336067656835383</v>
      </c>
      <c r="E2" s="5">
        <f>SUM(E4:E107)</f>
        <v>240271442.35999995</v>
      </c>
      <c r="F2" s="10" t="s">
        <v>2</v>
      </c>
      <c r="G2" s="11">
        <f>SUM(G4:G107)</f>
        <v>44079227.512499988</v>
      </c>
      <c r="H2" s="5">
        <f>SUM(H4:H107)</f>
        <v>223536129.36999997</v>
      </c>
      <c r="I2" s="10" t="s">
        <v>3</v>
      </c>
      <c r="J2" s="11">
        <f>SUM(J4:J107)</f>
        <v>9397069.6844999976</v>
      </c>
      <c r="K2" s="11">
        <f>SUM(K4:K60)</f>
        <v>53464997.085999988</v>
      </c>
      <c r="L2" s="12">
        <f>(C2+0.9*K2)/(B2-0.1*K2)</f>
        <v>0.13997103477856845</v>
      </c>
      <c r="N2" s="19" t="s">
        <v>4</v>
      </c>
      <c r="O2" s="15">
        <f>L2-D2</f>
        <v>6.3642690950301561E-3</v>
      </c>
    </row>
    <row r="3" spans="1:15" x14ac:dyDescent="0.3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8" t="s">
        <v>10</v>
      </c>
      <c r="G3" s="8" t="s">
        <v>11</v>
      </c>
      <c r="H3" s="4" t="s">
        <v>12</v>
      </c>
      <c r="I3" s="8" t="s">
        <v>10</v>
      </c>
      <c r="J3" s="8" t="s">
        <v>13</v>
      </c>
      <c r="K3" s="8" t="s">
        <v>14</v>
      </c>
      <c r="L3" s="8" t="s">
        <v>15</v>
      </c>
      <c r="N3" s="19" t="s">
        <v>16</v>
      </c>
      <c r="O3" s="17">
        <f>G2</f>
        <v>44079227.512499988</v>
      </c>
    </row>
    <row r="4" spans="1:15" x14ac:dyDescent="0.35">
      <c r="A4" s="1" t="s">
        <v>17</v>
      </c>
      <c r="B4" s="2">
        <v>38782081.520000011</v>
      </c>
      <c r="C4" s="2">
        <v>36304369.320000008</v>
      </c>
      <c r="D4" s="6">
        <f t="shared" ref="D4:D35" si="0">C4/B4</f>
        <v>0.93611193358143396</v>
      </c>
      <c r="E4" s="2">
        <v>2102299.21</v>
      </c>
      <c r="F4" s="3">
        <f>IF(D4&gt;30%,0.3,IF(D4&gt;0.2,10%,5%))</f>
        <v>0.3</v>
      </c>
      <c r="G4" s="13">
        <f>F4*E4</f>
        <v>630689.76299999992</v>
      </c>
      <c r="H4" s="2"/>
      <c r="I4" s="3">
        <f>IF(D4&gt;0.3,10%,IF(D4&gt;0.2,5%,0%))</f>
        <v>0.1</v>
      </c>
      <c r="J4" s="13">
        <f>I4*H4</f>
        <v>0</v>
      </c>
      <c r="K4" s="9">
        <f>F4*E4+I4*H4</f>
        <v>630689.76299999992</v>
      </c>
      <c r="L4" s="3">
        <f>(C4+K4*0.9)/(B4-K4*0.1)</f>
        <v>0.95229675769971234</v>
      </c>
      <c r="N4" s="19" t="s">
        <v>18</v>
      </c>
      <c r="O4" s="18">
        <f>G2/E2</f>
        <v>0.18345595747686008</v>
      </c>
    </row>
    <row r="5" spans="1:15" ht="29" x14ac:dyDescent="0.35">
      <c r="A5" s="1" t="s">
        <v>19</v>
      </c>
      <c r="B5" s="2">
        <v>218380651.32000002</v>
      </c>
      <c r="C5" s="2">
        <v>173967084.44999996</v>
      </c>
      <c r="D5" s="6">
        <f t="shared" si="0"/>
        <v>0.79662315959979679</v>
      </c>
      <c r="E5" s="2">
        <v>23298977.109999962</v>
      </c>
      <c r="F5" s="3">
        <f t="shared" ref="F5:F68" si="1">IF(D5&gt;30%,0.3,IF(D5&gt;0.2,10%,5%))</f>
        <v>0.3</v>
      </c>
      <c r="G5" s="13">
        <f t="shared" ref="G5:G68" si="2">F5*E5</f>
        <v>6989693.1329999883</v>
      </c>
      <c r="H5" s="2">
        <v>8807898.4299999997</v>
      </c>
      <c r="I5" s="3">
        <f t="shared" ref="I5:I68" si="3">IF(D5&gt;0.3,10%,IF(D5&gt;0.2,5%,0%))</f>
        <v>0.1</v>
      </c>
      <c r="J5" s="13">
        <f t="shared" ref="J5:J68" si="4">I5*H5</f>
        <v>880789.84299999999</v>
      </c>
      <c r="K5" s="9">
        <f t="shared" ref="K5:K68" si="5">F5*E5+I5*H5</f>
        <v>7870482.9759999886</v>
      </c>
      <c r="L5" s="3">
        <f t="shared" ref="L5:L68" si="6">(C5+K5*0.9)/(B5-K5*0.1)</f>
        <v>0.83205809644027917</v>
      </c>
      <c r="N5" s="19" t="s">
        <v>20</v>
      </c>
      <c r="O5" s="17">
        <f>J2</f>
        <v>9397069.6844999976</v>
      </c>
    </row>
    <row r="6" spans="1:15" ht="29" x14ac:dyDescent="0.35">
      <c r="A6" s="1" t="s">
        <v>21</v>
      </c>
      <c r="B6" s="2">
        <v>42364482.650000006</v>
      </c>
      <c r="C6" s="2">
        <v>33105137.899999995</v>
      </c>
      <c r="D6" s="6">
        <f t="shared" si="0"/>
        <v>0.78143614247582438</v>
      </c>
      <c r="E6" s="2">
        <v>1160146.619999998</v>
      </c>
      <c r="F6" s="3">
        <f t="shared" si="1"/>
        <v>0.3</v>
      </c>
      <c r="G6" s="13">
        <f t="shared" si="2"/>
        <v>348043.98599999939</v>
      </c>
      <c r="H6" s="2">
        <v>4358568.3200000012</v>
      </c>
      <c r="I6" s="3">
        <f t="shared" si="3"/>
        <v>0.1</v>
      </c>
      <c r="J6" s="13">
        <f t="shared" si="4"/>
        <v>435856.83200000017</v>
      </c>
      <c r="K6" s="9">
        <f t="shared" si="5"/>
        <v>783900.8179999995</v>
      </c>
      <c r="L6" s="3">
        <f t="shared" si="6"/>
        <v>0.79956899734042308</v>
      </c>
      <c r="N6" s="19" t="s">
        <v>22</v>
      </c>
      <c r="O6" s="18">
        <f>J2/H2</f>
        <v>4.2038258920310115E-2</v>
      </c>
    </row>
    <row r="7" spans="1:15" x14ac:dyDescent="0.35">
      <c r="A7" s="1" t="s">
        <v>23</v>
      </c>
      <c r="B7" s="2">
        <v>17217412.189999998</v>
      </c>
      <c r="C7" s="2">
        <v>13347248.779999997</v>
      </c>
      <c r="D7" s="6">
        <f t="shared" si="0"/>
        <v>0.77521805441541203</v>
      </c>
      <c r="E7" s="2">
        <v>240184.36000000002</v>
      </c>
      <c r="F7" s="3">
        <f t="shared" si="1"/>
        <v>0.3</v>
      </c>
      <c r="G7" s="13">
        <f t="shared" si="2"/>
        <v>72055.308000000005</v>
      </c>
      <c r="H7" s="2">
        <v>2235803.1399999997</v>
      </c>
      <c r="I7" s="3">
        <f t="shared" si="3"/>
        <v>0.1</v>
      </c>
      <c r="J7" s="13">
        <f t="shared" si="4"/>
        <v>223580.31399999998</v>
      </c>
      <c r="K7" s="9">
        <f t="shared" si="5"/>
        <v>295635.62199999997</v>
      </c>
      <c r="L7" s="3">
        <f t="shared" si="6"/>
        <v>0.79203169254013084</v>
      </c>
      <c r="N7" s="19" t="s">
        <v>14</v>
      </c>
      <c r="O7" s="17">
        <f>K2</f>
        <v>53464997.085999988</v>
      </c>
    </row>
    <row r="8" spans="1:15" x14ac:dyDescent="0.35">
      <c r="A8" s="1" t="s">
        <v>24</v>
      </c>
      <c r="B8" s="2">
        <v>66471722.140000015</v>
      </c>
      <c r="C8" s="2">
        <v>47661261.57000003</v>
      </c>
      <c r="D8" s="6">
        <f t="shared" si="0"/>
        <v>0.71701559754413813</v>
      </c>
      <c r="E8" s="2">
        <v>6443716.7199999951</v>
      </c>
      <c r="F8" s="3">
        <f t="shared" si="1"/>
        <v>0.3</v>
      </c>
      <c r="G8" s="13">
        <f t="shared" si="2"/>
        <v>1933115.0159999984</v>
      </c>
      <c r="H8" s="2">
        <v>171014.00999999998</v>
      </c>
      <c r="I8" s="3">
        <f t="shared" si="3"/>
        <v>0.1</v>
      </c>
      <c r="J8" s="13">
        <f t="shared" si="4"/>
        <v>17101.400999999998</v>
      </c>
      <c r="K8" s="9">
        <f t="shared" si="5"/>
        <v>1950216.4169999985</v>
      </c>
      <c r="L8" s="3">
        <f t="shared" si="6"/>
        <v>0.74560827521230555</v>
      </c>
      <c r="N8" s="19" t="s">
        <v>25</v>
      </c>
      <c r="O8" s="18">
        <f>K2/(H2+E2)</f>
        <v>0.11527409284539236</v>
      </c>
    </row>
    <row r="9" spans="1:15" x14ac:dyDescent="0.35">
      <c r="A9" s="1" t="s">
        <v>26</v>
      </c>
      <c r="B9" s="2">
        <v>8985177.3300000057</v>
      </c>
      <c r="C9" s="2">
        <v>5878895.9700000025</v>
      </c>
      <c r="D9" s="6">
        <f t="shared" si="0"/>
        <v>0.65428825209396269</v>
      </c>
      <c r="E9" s="2">
        <v>129018.47999999991</v>
      </c>
      <c r="F9" s="3">
        <f t="shared" si="1"/>
        <v>0.3</v>
      </c>
      <c r="G9" s="13">
        <f t="shared" si="2"/>
        <v>38705.543999999973</v>
      </c>
      <c r="H9" s="2">
        <v>65878.050000000032</v>
      </c>
      <c r="I9" s="3">
        <f t="shared" si="3"/>
        <v>0.1</v>
      </c>
      <c r="J9" s="13">
        <f t="shared" si="4"/>
        <v>6587.8050000000039</v>
      </c>
      <c r="K9" s="9">
        <f t="shared" si="5"/>
        <v>45293.348999999973</v>
      </c>
      <c r="L9" s="3">
        <f t="shared" si="6"/>
        <v>0.65915733333829241</v>
      </c>
    </row>
    <row r="10" spans="1:15" x14ac:dyDescent="0.35">
      <c r="A10" s="1" t="s">
        <v>27</v>
      </c>
      <c r="B10" s="2">
        <v>55292590.770000026</v>
      </c>
      <c r="C10" s="2">
        <v>34575929.45000001</v>
      </c>
      <c r="D10" s="6">
        <f t="shared" si="0"/>
        <v>0.62532662999686739</v>
      </c>
      <c r="E10" s="2">
        <v>11000009.359999999</v>
      </c>
      <c r="F10" s="3">
        <f t="shared" si="1"/>
        <v>0.3</v>
      </c>
      <c r="G10" s="13">
        <f t="shared" si="2"/>
        <v>3300002.8079999997</v>
      </c>
      <c r="H10" s="2">
        <v>1271217.93</v>
      </c>
      <c r="I10" s="3">
        <f t="shared" si="3"/>
        <v>0.1</v>
      </c>
      <c r="J10" s="13">
        <f t="shared" si="4"/>
        <v>127121.79300000001</v>
      </c>
      <c r="K10" s="9">
        <f t="shared" si="5"/>
        <v>3427124.6009999998</v>
      </c>
      <c r="L10" s="3">
        <f t="shared" si="6"/>
        <v>0.68535805263312022</v>
      </c>
    </row>
    <row r="11" spans="1:15" x14ac:dyDescent="0.35">
      <c r="A11" s="1" t="s">
        <v>28</v>
      </c>
      <c r="B11" s="2">
        <v>4987685.9999999991</v>
      </c>
      <c r="C11" s="2">
        <v>3090692.4699999997</v>
      </c>
      <c r="D11" s="6">
        <f t="shared" si="0"/>
        <v>0.61966460398669854</v>
      </c>
      <c r="E11" s="2">
        <v>209790.56999999992</v>
      </c>
      <c r="F11" s="3">
        <f t="shared" si="1"/>
        <v>0.3</v>
      </c>
      <c r="G11" s="13">
        <f t="shared" si="2"/>
        <v>62937.170999999973</v>
      </c>
      <c r="H11" s="2">
        <v>1029678.85</v>
      </c>
      <c r="I11" s="3">
        <f t="shared" si="3"/>
        <v>0.1</v>
      </c>
      <c r="J11" s="13">
        <f t="shared" si="4"/>
        <v>102967.88500000001</v>
      </c>
      <c r="K11" s="9">
        <f t="shared" si="5"/>
        <v>165905.05599999998</v>
      </c>
      <c r="L11" s="3">
        <f t="shared" si="6"/>
        <v>0.65176921747930772</v>
      </c>
    </row>
    <row r="12" spans="1:15" x14ac:dyDescent="0.35">
      <c r="A12" s="1" t="s">
        <v>29</v>
      </c>
      <c r="B12" s="2">
        <v>42881714.709999986</v>
      </c>
      <c r="C12" s="2">
        <v>23989107.190000001</v>
      </c>
      <c r="D12" s="6">
        <f t="shared" si="0"/>
        <v>0.55942509184236888</v>
      </c>
      <c r="E12" s="2">
        <v>3773327.3299999982</v>
      </c>
      <c r="F12" s="3">
        <f t="shared" si="1"/>
        <v>0.3</v>
      </c>
      <c r="G12" s="13">
        <f t="shared" si="2"/>
        <v>1131998.1989999993</v>
      </c>
      <c r="H12" s="2">
        <v>529622.64000000025</v>
      </c>
      <c r="I12" s="3">
        <f t="shared" si="3"/>
        <v>0.1</v>
      </c>
      <c r="J12" s="13">
        <f t="shared" si="4"/>
        <v>52962.264000000025</v>
      </c>
      <c r="K12" s="9">
        <f t="shared" si="5"/>
        <v>1184960.4629999993</v>
      </c>
      <c r="L12" s="3">
        <f t="shared" si="6"/>
        <v>0.58591407264600237</v>
      </c>
    </row>
    <row r="13" spans="1:15" x14ac:dyDescent="0.35">
      <c r="A13" s="1" t="s">
        <v>30</v>
      </c>
      <c r="B13" s="2">
        <v>27435598.519999985</v>
      </c>
      <c r="C13" s="2">
        <v>15215881.869999994</v>
      </c>
      <c r="D13" s="6">
        <f t="shared" si="0"/>
        <v>0.5546036059285504</v>
      </c>
      <c r="E13" s="2">
        <v>1533077.1900000002</v>
      </c>
      <c r="F13" s="3">
        <f t="shared" si="1"/>
        <v>0.3</v>
      </c>
      <c r="G13" s="13">
        <f t="shared" si="2"/>
        <v>459923.15700000006</v>
      </c>
      <c r="H13" s="2">
        <v>769794.8400000002</v>
      </c>
      <c r="I13" s="3">
        <f t="shared" si="3"/>
        <v>0.1</v>
      </c>
      <c r="J13" s="13">
        <f t="shared" si="4"/>
        <v>76979.484000000026</v>
      </c>
      <c r="K13" s="9">
        <f t="shared" si="5"/>
        <v>536902.64100000006</v>
      </c>
      <c r="L13" s="3">
        <f t="shared" si="6"/>
        <v>0.57333820930896251</v>
      </c>
    </row>
    <row r="14" spans="1:15" x14ac:dyDescent="0.35">
      <c r="A14" s="1" t="s">
        <v>31</v>
      </c>
      <c r="B14" s="2">
        <v>51571869.690000013</v>
      </c>
      <c r="C14" s="2">
        <v>26552953.16</v>
      </c>
      <c r="D14" s="6">
        <f t="shared" si="0"/>
        <v>0.51487280410057967</v>
      </c>
      <c r="E14" s="2">
        <v>2335832.2199999997</v>
      </c>
      <c r="F14" s="3">
        <f t="shared" si="1"/>
        <v>0.3</v>
      </c>
      <c r="G14" s="13">
        <f t="shared" si="2"/>
        <v>700749.66599999985</v>
      </c>
      <c r="H14" s="2">
        <v>5572341.4799999995</v>
      </c>
      <c r="I14" s="3">
        <f t="shared" si="3"/>
        <v>0.1</v>
      </c>
      <c r="J14" s="13">
        <f t="shared" si="4"/>
        <v>557234.14799999993</v>
      </c>
      <c r="K14" s="9">
        <f t="shared" si="5"/>
        <v>1257983.8139999998</v>
      </c>
      <c r="L14" s="3">
        <f t="shared" si="6"/>
        <v>0.53813902380475831</v>
      </c>
    </row>
    <row r="15" spans="1:15" x14ac:dyDescent="0.35">
      <c r="A15" s="1" t="s">
        <v>32</v>
      </c>
      <c r="B15" s="2">
        <v>3988393.870000002</v>
      </c>
      <c r="C15" s="2">
        <v>2020633.7100000004</v>
      </c>
      <c r="D15" s="6">
        <f t="shared" si="0"/>
        <v>0.50662842634446215</v>
      </c>
      <c r="E15" s="2">
        <v>450763.2199999998</v>
      </c>
      <c r="F15" s="3">
        <f t="shared" si="1"/>
        <v>0.3</v>
      </c>
      <c r="G15" s="13">
        <f t="shared" si="2"/>
        <v>135228.96599999993</v>
      </c>
      <c r="H15" s="2">
        <v>920556.16000000027</v>
      </c>
      <c r="I15" s="3">
        <f t="shared" si="3"/>
        <v>0.1</v>
      </c>
      <c r="J15" s="13">
        <f t="shared" si="4"/>
        <v>92055.616000000038</v>
      </c>
      <c r="K15" s="9">
        <f t="shared" si="5"/>
        <v>227284.58199999997</v>
      </c>
      <c r="L15" s="3">
        <f t="shared" si="6"/>
        <v>0.5611138617945064</v>
      </c>
    </row>
    <row r="16" spans="1:15" x14ac:dyDescent="0.35">
      <c r="A16" s="1" t="s">
        <v>33</v>
      </c>
      <c r="B16" s="2">
        <v>39394629.339999989</v>
      </c>
      <c r="C16" s="2">
        <v>19545773.309999995</v>
      </c>
      <c r="D16" s="6">
        <f t="shared" si="0"/>
        <v>0.49615324823360807</v>
      </c>
      <c r="E16" s="2">
        <v>682612.24999999988</v>
      </c>
      <c r="F16" s="3">
        <f t="shared" si="1"/>
        <v>0.3</v>
      </c>
      <c r="G16" s="13">
        <f t="shared" si="2"/>
        <v>204783.67499999996</v>
      </c>
      <c r="H16" s="2">
        <v>9113603.339999998</v>
      </c>
      <c r="I16" s="3">
        <f t="shared" si="3"/>
        <v>0.1</v>
      </c>
      <c r="J16" s="13">
        <f t="shared" si="4"/>
        <v>911360.3339999998</v>
      </c>
      <c r="K16" s="9">
        <f t="shared" si="5"/>
        <v>1116144.0089999998</v>
      </c>
      <c r="L16" s="3">
        <f t="shared" si="6"/>
        <v>0.52313456464476815</v>
      </c>
    </row>
    <row r="17" spans="1:12" x14ac:dyDescent="0.35">
      <c r="A17" s="1" t="s">
        <v>34</v>
      </c>
      <c r="B17" s="2">
        <v>23068706.500000007</v>
      </c>
      <c r="C17" s="2">
        <v>10780797.35</v>
      </c>
      <c r="D17" s="6">
        <f t="shared" si="0"/>
        <v>0.4673342803160635</v>
      </c>
      <c r="E17" s="2">
        <v>2605756.1599999997</v>
      </c>
      <c r="F17" s="3">
        <f t="shared" si="1"/>
        <v>0.3</v>
      </c>
      <c r="G17" s="13">
        <f t="shared" si="2"/>
        <v>781726.84799999988</v>
      </c>
      <c r="H17" s="2">
        <v>548811.90999999992</v>
      </c>
      <c r="I17" s="3">
        <f t="shared" si="3"/>
        <v>0.1</v>
      </c>
      <c r="J17" s="13">
        <f t="shared" si="4"/>
        <v>54881.190999999992</v>
      </c>
      <c r="K17" s="9">
        <f t="shared" si="5"/>
        <v>836608.03899999987</v>
      </c>
      <c r="L17" s="3">
        <f t="shared" si="6"/>
        <v>0.50179341549262135</v>
      </c>
    </row>
    <row r="18" spans="1:12" x14ac:dyDescent="0.35">
      <c r="A18" s="1" t="s">
        <v>35</v>
      </c>
      <c r="B18" s="2">
        <v>57215640.679999985</v>
      </c>
      <c r="C18" s="2">
        <v>26448812.52</v>
      </c>
      <c r="D18" s="6">
        <f t="shared" si="0"/>
        <v>0.46226542612578514</v>
      </c>
      <c r="E18" s="2">
        <v>7118779.0800000019</v>
      </c>
      <c r="F18" s="3">
        <f t="shared" si="1"/>
        <v>0.3</v>
      </c>
      <c r="G18" s="13">
        <f t="shared" si="2"/>
        <v>2135633.7240000004</v>
      </c>
      <c r="H18" s="2">
        <v>1732722.8899999997</v>
      </c>
      <c r="I18" s="3">
        <f t="shared" si="3"/>
        <v>0.1</v>
      </c>
      <c r="J18" s="13">
        <f t="shared" si="4"/>
        <v>173272.28899999999</v>
      </c>
      <c r="K18" s="9">
        <f t="shared" si="5"/>
        <v>2308906.0130000003</v>
      </c>
      <c r="L18" s="3">
        <f t="shared" si="6"/>
        <v>0.50060459846366656</v>
      </c>
    </row>
    <row r="19" spans="1:12" x14ac:dyDescent="0.35">
      <c r="A19" s="1" t="s">
        <v>36</v>
      </c>
      <c r="B19" s="2">
        <v>6493944.4100000039</v>
      </c>
      <c r="C19" s="2">
        <v>2878520.0200000005</v>
      </c>
      <c r="D19" s="6">
        <f t="shared" si="0"/>
        <v>0.44326218985912119</v>
      </c>
      <c r="E19" s="2">
        <v>1046424.0500000004</v>
      </c>
      <c r="F19" s="3">
        <f t="shared" si="1"/>
        <v>0.3</v>
      </c>
      <c r="G19" s="13">
        <f t="shared" si="2"/>
        <v>313927.21500000008</v>
      </c>
      <c r="H19" s="2">
        <v>1830769.26</v>
      </c>
      <c r="I19" s="3">
        <f t="shared" si="3"/>
        <v>0.1</v>
      </c>
      <c r="J19" s="13">
        <f t="shared" si="4"/>
        <v>183076.92600000001</v>
      </c>
      <c r="K19" s="9">
        <f t="shared" si="5"/>
        <v>497004.14100000006</v>
      </c>
      <c r="L19" s="3">
        <f t="shared" si="6"/>
        <v>0.51609215123076913</v>
      </c>
    </row>
    <row r="20" spans="1:12" x14ac:dyDescent="0.35">
      <c r="A20" s="1" t="s">
        <v>37</v>
      </c>
      <c r="B20" s="2">
        <v>10493516.98</v>
      </c>
      <c r="C20" s="2">
        <v>4471653.9400000013</v>
      </c>
      <c r="D20" s="6">
        <f t="shared" si="0"/>
        <v>0.4261349124914649</v>
      </c>
      <c r="E20" s="2">
        <v>1825898.2300000004</v>
      </c>
      <c r="F20" s="3">
        <f t="shared" si="1"/>
        <v>0.3</v>
      </c>
      <c r="G20" s="13">
        <f t="shared" si="2"/>
        <v>547769.46900000016</v>
      </c>
      <c r="H20" s="2">
        <v>206953.49</v>
      </c>
      <c r="I20" s="3">
        <f t="shared" si="3"/>
        <v>0.1</v>
      </c>
      <c r="J20" s="13">
        <f t="shared" si="4"/>
        <v>20695.349000000002</v>
      </c>
      <c r="K20" s="9">
        <f t="shared" si="5"/>
        <v>568464.8180000002</v>
      </c>
      <c r="L20" s="3">
        <f t="shared" si="6"/>
        <v>0.47747720664932936</v>
      </c>
    </row>
    <row r="21" spans="1:12" x14ac:dyDescent="0.35">
      <c r="A21" s="1" t="s">
        <v>38</v>
      </c>
      <c r="B21" s="2">
        <v>51858367.779999971</v>
      </c>
      <c r="C21" s="2">
        <v>20769637.649999991</v>
      </c>
      <c r="D21" s="6">
        <f t="shared" si="0"/>
        <v>0.40050696809648029</v>
      </c>
      <c r="E21" s="2">
        <v>1346965.96</v>
      </c>
      <c r="F21" s="3">
        <f t="shared" si="1"/>
        <v>0.3</v>
      </c>
      <c r="G21" s="13">
        <f t="shared" si="2"/>
        <v>404089.788</v>
      </c>
      <c r="H21" s="2">
        <v>1810393.2800000003</v>
      </c>
      <c r="I21" s="3">
        <f t="shared" si="3"/>
        <v>0.1</v>
      </c>
      <c r="J21" s="13">
        <f t="shared" si="4"/>
        <v>181039.32800000004</v>
      </c>
      <c r="K21" s="9">
        <f t="shared" si="5"/>
        <v>585129.11600000004</v>
      </c>
      <c r="L21" s="3">
        <f t="shared" si="6"/>
        <v>0.41112574366287608</v>
      </c>
    </row>
    <row r="22" spans="1:12" x14ac:dyDescent="0.35">
      <c r="A22" s="1" t="s">
        <v>39</v>
      </c>
      <c r="B22" s="2">
        <v>57319105.750000015</v>
      </c>
      <c r="C22" s="2">
        <v>22646161.909999996</v>
      </c>
      <c r="D22" s="6">
        <f t="shared" si="0"/>
        <v>0.39508923968165693</v>
      </c>
      <c r="E22" s="2">
        <v>9918521.6699999925</v>
      </c>
      <c r="F22" s="3">
        <f t="shared" si="1"/>
        <v>0.3</v>
      </c>
      <c r="G22" s="13">
        <f t="shared" si="2"/>
        <v>2975556.5009999978</v>
      </c>
      <c r="H22" s="2">
        <v>1660423.4100000001</v>
      </c>
      <c r="I22" s="3">
        <f t="shared" si="3"/>
        <v>0.1</v>
      </c>
      <c r="J22" s="13">
        <f t="shared" si="4"/>
        <v>166042.34100000001</v>
      </c>
      <c r="K22" s="9">
        <f t="shared" si="5"/>
        <v>3141598.8419999979</v>
      </c>
      <c r="L22" s="3">
        <f t="shared" si="6"/>
        <v>0.4468665039656291</v>
      </c>
    </row>
    <row r="23" spans="1:12" x14ac:dyDescent="0.35">
      <c r="A23" s="1" t="s">
        <v>40</v>
      </c>
      <c r="B23" s="2">
        <v>22974906.389999989</v>
      </c>
      <c r="C23" s="2">
        <v>9005974.3399999999</v>
      </c>
      <c r="D23" s="6">
        <f t="shared" si="0"/>
        <v>0.39199177516213612</v>
      </c>
      <c r="E23" s="2">
        <v>3731567.04</v>
      </c>
      <c r="F23" s="3">
        <f t="shared" si="1"/>
        <v>0.3</v>
      </c>
      <c r="G23" s="13">
        <f t="shared" si="2"/>
        <v>1119470.112</v>
      </c>
      <c r="H23" s="2">
        <v>1040091.5300000001</v>
      </c>
      <c r="I23" s="3">
        <f t="shared" si="3"/>
        <v>0.1</v>
      </c>
      <c r="J23" s="13">
        <f t="shared" si="4"/>
        <v>104009.15300000002</v>
      </c>
      <c r="K23" s="9">
        <f t="shared" si="5"/>
        <v>1223479.2649999999</v>
      </c>
      <c r="L23" s="3">
        <f t="shared" si="6"/>
        <v>0.44227457921803492</v>
      </c>
    </row>
    <row r="24" spans="1:12" x14ac:dyDescent="0.35">
      <c r="A24" s="1" t="s">
        <v>41</v>
      </c>
      <c r="B24" s="2">
        <v>7581961.9899999974</v>
      </c>
      <c r="C24" s="2">
        <v>2952497.2899999991</v>
      </c>
      <c r="D24" s="6">
        <f t="shared" si="0"/>
        <v>0.38941072164356766</v>
      </c>
      <c r="E24" s="2">
        <v>310171.7900000001</v>
      </c>
      <c r="F24" s="3">
        <f t="shared" si="1"/>
        <v>0.3</v>
      </c>
      <c r="G24" s="13">
        <f t="shared" si="2"/>
        <v>93051.537000000026</v>
      </c>
      <c r="H24" s="2">
        <v>0</v>
      </c>
      <c r="I24" s="3">
        <f t="shared" si="3"/>
        <v>0.1</v>
      </c>
      <c r="J24" s="13">
        <f t="shared" si="4"/>
        <v>0</v>
      </c>
      <c r="K24" s="9">
        <f t="shared" si="5"/>
        <v>93051.537000000026</v>
      </c>
      <c r="L24" s="3">
        <f t="shared" si="6"/>
        <v>0.40094827204443989</v>
      </c>
    </row>
    <row r="25" spans="1:12" x14ac:dyDescent="0.35">
      <c r="A25" s="1" t="s">
        <v>42</v>
      </c>
      <c r="B25" s="2">
        <v>51688402.63000001</v>
      </c>
      <c r="C25" s="2">
        <v>17749600.680000007</v>
      </c>
      <c r="D25" s="6">
        <f t="shared" si="0"/>
        <v>0.3433961928956597</v>
      </c>
      <c r="E25" s="2">
        <v>15011964.410000002</v>
      </c>
      <c r="F25" s="3">
        <f t="shared" si="1"/>
        <v>0.3</v>
      </c>
      <c r="G25" s="13">
        <f t="shared" si="2"/>
        <v>4503589.3230000008</v>
      </c>
      <c r="H25" s="2">
        <v>565053.19000000006</v>
      </c>
      <c r="I25" s="3">
        <f t="shared" si="3"/>
        <v>0.1</v>
      </c>
      <c r="J25" s="13">
        <f t="shared" si="4"/>
        <v>56505.31900000001</v>
      </c>
      <c r="K25" s="9">
        <f t="shared" si="5"/>
        <v>4560094.6420000009</v>
      </c>
      <c r="L25" s="3">
        <f t="shared" si="6"/>
        <v>0.42655992639415391</v>
      </c>
    </row>
    <row r="26" spans="1:12" x14ac:dyDescent="0.35">
      <c r="A26" s="1" t="s">
        <v>43</v>
      </c>
      <c r="B26" s="2">
        <v>60957643.459999852</v>
      </c>
      <c r="C26" s="2">
        <v>20554848.61999999</v>
      </c>
      <c r="D26" s="6">
        <f t="shared" si="0"/>
        <v>0.3371988720903884</v>
      </c>
      <c r="E26" s="2">
        <v>3011867.890000002</v>
      </c>
      <c r="F26" s="3">
        <f t="shared" si="1"/>
        <v>0.3</v>
      </c>
      <c r="G26" s="13">
        <f t="shared" si="2"/>
        <v>903560.36700000055</v>
      </c>
      <c r="H26" s="2">
        <v>2873746.3299999991</v>
      </c>
      <c r="I26" s="3">
        <f t="shared" si="3"/>
        <v>0.1</v>
      </c>
      <c r="J26" s="13">
        <f t="shared" si="4"/>
        <v>287374.63299999991</v>
      </c>
      <c r="K26" s="9">
        <f t="shared" si="5"/>
        <v>1190935.0000000005</v>
      </c>
      <c r="L26" s="3">
        <f t="shared" si="6"/>
        <v>0.35547675173420656</v>
      </c>
    </row>
    <row r="27" spans="1:12" x14ac:dyDescent="0.35">
      <c r="A27" s="1" t="s">
        <v>44</v>
      </c>
      <c r="B27" s="2">
        <v>30113766.040000007</v>
      </c>
      <c r="C27" s="2">
        <v>10132499.809999997</v>
      </c>
      <c r="D27" s="6">
        <f t="shared" si="0"/>
        <v>0.33647401645284197</v>
      </c>
      <c r="E27" s="2">
        <v>4177536.1199999982</v>
      </c>
      <c r="F27" s="3">
        <f t="shared" si="1"/>
        <v>0.3</v>
      </c>
      <c r="G27" s="13">
        <f t="shared" si="2"/>
        <v>1253260.8359999994</v>
      </c>
      <c r="H27" s="2">
        <v>1955943.5499999996</v>
      </c>
      <c r="I27" s="3">
        <f t="shared" si="3"/>
        <v>0.1</v>
      </c>
      <c r="J27" s="13">
        <f t="shared" si="4"/>
        <v>195594.35499999998</v>
      </c>
      <c r="K27" s="9">
        <f t="shared" si="5"/>
        <v>1448855.1909999994</v>
      </c>
      <c r="L27" s="3">
        <f t="shared" si="6"/>
        <v>0.38161150110109426</v>
      </c>
    </row>
    <row r="28" spans="1:12" x14ac:dyDescent="0.35">
      <c r="A28" s="1" t="s">
        <v>45</v>
      </c>
      <c r="B28" s="2">
        <v>127224621.31999999</v>
      </c>
      <c r="C28" s="2">
        <v>41164899.779999994</v>
      </c>
      <c r="D28" s="6">
        <f t="shared" si="0"/>
        <v>0.32356079627433548</v>
      </c>
      <c r="E28" s="2">
        <v>6298042.1999999993</v>
      </c>
      <c r="F28" s="3">
        <f t="shared" si="1"/>
        <v>0.3</v>
      </c>
      <c r="G28" s="13">
        <f t="shared" si="2"/>
        <v>1889412.6599999997</v>
      </c>
      <c r="H28" s="2">
        <v>2900828.6699999985</v>
      </c>
      <c r="I28" s="3">
        <f t="shared" si="3"/>
        <v>0.1</v>
      </c>
      <c r="J28" s="13">
        <f t="shared" si="4"/>
        <v>290082.86699999985</v>
      </c>
      <c r="K28" s="9">
        <f t="shared" si="5"/>
        <v>2179495.5269999998</v>
      </c>
      <c r="L28" s="3">
        <f t="shared" si="6"/>
        <v>0.33956047469156359</v>
      </c>
    </row>
    <row r="29" spans="1:12" x14ac:dyDescent="0.35">
      <c r="A29" s="1" t="s">
        <v>46</v>
      </c>
      <c r="B29" s="2">
        <v>3056076.7100000018</v>
      </c>
      <c r="C29" s="2">
        <v>976638.70000000019</v>
      </c>
      <c r="D29" s="6">
        <f t="shared" si="0"/>
        <v>0.3195727047047846</v>
      </c>
      <c r="E29" s="2">
        <v>157613.51</v>
      </c>
      <c r="F29" s="3">
        <f t="shared" si="1"/>
        <v>0.3</v>
      </c>
      <c r="G29" s="13">
        <f t="shared" si="2"/>
        <v>47284.053</v>
      </c>
      <c r="H29" s="2">
        <v>432044.59999999986</v>
      </c>
      <c r="I29" s="3">
        <f t="shared" si="3"/>
        <v>0.1</v>
      </c>
      <c r="J29" s="13">
        <f t="shared" si="4"/>
        <v>43204.459999999992</v>
      </c>
      <c r="K29" s="9">
        <f t="shared" si="5"/>
        <v>90488.512999999992</v>
      </c>
      <c r="L29" s="3">
        <f t="shared" si="6"/>
        <v>0.34724932319831947</v>
      </c>
    </row>
    <row r="30" spans="1:12" x14ac:dyDescent="0.35">
      <c r="A30" s="1" t="s">
        <v>47</v>
      </c>
      <c r="B30" s="2">
        <v>194400176.99000001</v>
      </c>
      <c r="C30" s="2">
        <v>61508435.920000046</v>
      </c>
      <c r="D30" s="6">
        <f t="shared" si="0"/>
        <v>0.31640113127656283</v>
      </c>
      <c r="E30" s="2">
        <v>1981562.26</v>
      </c>
      <c r="F30" s="3">
        <f t="shared" si="1"/>
        <v>0.3</v>
      </c>
      <c r="G30" s="13">
        <f t="shared" si="2"/>
        <v>594468.67799999996</v>
      </c>
      <c r="H30" s="2">
        <v>17290557.589999985</v>
      </c>
      <c r="I30" s="3">
        <f t="shared" si="3"/>
        <v>0.1</v>
      </c>
      <c r="J30" s="13">
        <f t="shared" si="4"/>
        <v>1729055.7589999987</v>
      </c>
      <c r="K30" s="9">
        <f t="shared" si="5"/>
        <v>2323524.4369999985</v>
      </c>
      <c r="L30" s="3">
        <f t="shared" si="6"/>
        <v>0.32754967545168373</v>
      </c>
    </row>
    <row r="31" spans="1:12" x14ac:dyDescent="0.35">
      <c r="A31" s="1" t="s">
        <v>48</v>
      </c>
      <c r="B31" s="2">
        <v>98675251.350000292</v>
      </c>
      <c r="C31" s="2">
        <v>27548876.85999997</v>
      </c>
      <c r="D31" s="6">
        <f t="shared" si="0"/>
        <v>0.27918729856876001</v>
      </c>
      <c r="E31" s="2">
        <v>6992852.6199999955</v>
      </c>
      <c r="F31" s="3">
        <f t="shared" si="1"/>
        <v>0.1</v>
      </c>
      <c r="G31" s="13">
        <f t="shared" si="2"/>
        <v>699285.26199999964</v>
      </c>
      <c r="H31" s="2">
        <v>6015911.6200000029</v>
      </c>
      <c r="I31" s="3">
        <f t="shared" si="3"/>
        <v>0.05</v>
      </c>
      <c r="J31" s="13">
        <f t="shared" si="4"/>
        <v>300795.58100000018</v>
      </c>
      <c r="K31" s="9">
        <f t="shared" si="5"/>
        <v>1000080.8429999999</v>
      </c>
      <c r="L31" s="3">
        <f t="shared" si="6"/>
        <v>0.28860136354945126</v>
      </c>
    </row>
    <row r="32" spans="1:12" x14ac:dyDescent="0.35">
      <c r="A32" s="1" t="s">
        <v>49</v>
      </c>
      <c r="B32" s="2">
        <v>71382281.019999892</v>
      </c>
      <c r="C32" s="2">
        <v>19587085.550000012</v>
      </c>
      <c r="D32" s="6">
        <f t="shared" si="0"/>
        <v>0.27439702500557667</v>
      </c>
      <c r="E32" s="2">
        <v>10593389.74999998</v>
      </c>
      <c r="F32" s="3">
        <f t="shared" si="1"/>
        <v>0.1</v>
      </c>
      <c r="G32" s="13">
        <f t="shared" si="2"/>
        <v>1059338.974999998</v>
      </c>
      <c r="H32" s="2">
        <v>5631916.9099999974</v>
      </c>
      <c r="I32" s="3">
        <f t="shared" si="3"/>
        <v>0.05</v>
      </c>
      <c r="J32" s="13">
        <f t="shared" si="4"/>
        <v>281595.84549999988</v>
      </c>
      <c r="K32" s="9">
        <f t="shared" si="5"/>
        <v>1340934.8204999978</v>
      </c>
      <c r="L32" s="3">
        <f t="shared" si="6"/>
        <v>0.29185201205819111</v>
      </c>
    </row>
    <row r="33" spans="1:12" x14ac:dyDescent="0.35">
      <c r="A33" s="1" t="s">
        <v>50</v>
      </c>
      <c r="B33" s="2">
        <v>23523088.570000023</v>
      </c>
      <c r="C33" s="2">
        <v>5855555.8999999994</v>
      </c>
      <c r="D33" s="6">
        <f t="shared" si="0"/>
        <v>0.24892802161480762</v>
      </c>
      <c r="E33" s="2">
        <v>608591.61000000034</v>
      </c>
      <c r="F33" s="3">
        <f t="shared" si="1"/>
        <v>0.1</v>
      </c>
      <c r="G33" s="13">
        <f t="shared" si="2"/>
        <v>60859.161000000036</v>
      </c>
      <c r="H33" s="2">
        <v>886948.43000000075</v>
      </c>
      <c r="I33" s="3">
        <f t="shared" si="3"/>
        <v>0.05</v>
      </c>
      <c r="J33" s="13">
        <f t="shared" si="4"/>
        <v>44347.42150000004</v>
      </c>
      <c r="K33" s="9">
        <f t="shared" si="5"/>
        <v>105206.58250000008</v>
      </c>
      <c r="L33" s="3">
        <f t="shared" si="6"/>
        <v>0.25306643862053296</v>
      </c>
    </row>
    <row r="34" spans="1:12" x14ac:dyDescent="0.35">
      <c r="A34" s="1" t="s">
        <v>51</v>
      </c>
      <c r="B34" s="2">
        <v>56076109.430000171</v>
      </c>
      <c r="C34" s="2">
        <v>13873209.150000023</v>
      </c>
      <c r="D34" s="6">
        <f t="shared" si="0"/>
        <v>0.24739963758216776</v>
      </c>
      <c r="E34" s="2">
        <v>12121365.299999984</v>
      </c>
      <c r="F34" s="3">
        <f t="shared" si="1"/>
        <v>0.1</v>
      </c>
      <c r="G34" s="13">
        <f t="shared" si="2"/>
        <v>1212136.5299999984</v>
      </c>
      <c r="H34" s="2">
        <v>7167075.1899999948</v>
      </c>
      <c r="I34" s="3">
        <f t="shared" si="3"/>
        <v>0.05</v>
      </c>
      <c r="J34" s="13">
        <f t="shared" si="4"/>
        <v>358353.75949999975</v>
      </c>
      <c r="K34" s="9">
        <f t="shared" si="5"/>
        <v>1570490.2894999981</v>
      </c>
      <c r="L34" s="3">
        <f t="shared" si="6"/>
        <v>0.27337101698266258</v>
      </c>
    </row>
    <row r="35" spans="1:12" x14ac:dyDescent="0.35">
      <c r="A35" s="1" t="s">
        <v>52</v>
      </c>
      <c r="B35" s="2">
        <v>59929213.01000005</v>
      </c>
      <c r="C35" s="2">
        <v>14771182.190000007</v>
      </c>
      <c r="D35" s="6">
        <f t="shared" si="0"/>
        <v>0.24647715943700485</v>
      </c>
      <c r="E35" s="2">
        <v>4452774.6399999987</v>
      </c>
      <c r="F35" s="3">
        <f t="shared" si="1"/>
        <v>0.1</v>
      </c>
      <c r="G35" s="13">
        <f t="shared" si="2"/>
        <v>445277.46399999992</v>
      </c>
      <c r="H35" s="2">
        <v>0</v>
      </c>
      <c r="I35" s="3">
        <f t="shared" si="3"/>
        <v>0.05</v>
      </c>
      <c r="J35" s="13">
        <f t="shared" si="4"/>
        <v>0</v>
      </c>
      <c r="K35" s="9">
        <f t="shared" si="5"/>
        <v>445277.46399999992</v>
      </c>
      <c r="L35" s="3">
        <f t="shared" si="6"/>
        <v>0.25335245298219883</v>
      </c>
    </row>
    <row r="36" spans="1:12" x14ac:dyDescent="0.35">
      <c r="A36" s="1" t="s">
        <v>53</v>
      </c>
      <c r="B36" s="2">
        <v>128956128.88000003</v>
      </c>
      <c r="C36" s="2">
        <v>29172736.799999997</v>
      </c>
      <c r="D36" s="6">
        <f t="shared" ref="D36:D67" si="7">C36/B36</f>
        <v>0.22622218155405902</v>
      </c>
      <c r="E36" s="2">
        <v>5110028.41</v>
      </c>
      <c r="F36" s="3">
        <f t="shared" si="1"/>
        <v>0.1</v>
      </c>
      <c r="G36" s="13">
        <f t="shared" si="2"/>
        <v>511002.84100000001</v>
      </c>
      <c r="H36" s="2">
        <v>26290281.660000008</v>
      </c>
      <c r="I36" s="3">
        <f t="shared" si="3"/>
        <v>0.05</v>
      </c>
      <c r="J36" s="13">
        <f t="shared" si="4"/>
        <v>1314514.0830000006</v>
      </c>
      <c r="K36" s="9">
        <f t="shared" si="5"/>
        <v>1825516.9240000006</v>
      </c>
      <c r="L36" s="3">
        <f t="shared" si="6"/>
        <v>0.23930143671249454</v>
      </c>
    </row>
    <row r="37" spans="1:12" x14ac:dyDescent="0.35">
      <c r="A37" s="1" t="s">
        <v>54</v>
      </c>
      <c r="B37" s="2">
        <v>122685847.72000006</v>
      </c>
      <c r="C37" s="2">
        <v>24847479.209999986</v>
      </c>
      <c r="D37" s="6">
        <f t="shared" si="7"/>
        <v>0.20252930286391449</v>
      </c>
      <c r="E37" s="2">
        <v>41921980.51000002</v>
      </c>
      <c r="F37" s="3">
        <f t="shared" si="1"/>
        <v>0.1</v>
      </c>
      <c r="G37" s="13">
        <f t="shared" si="2"/>
        <v>4192198.0510000023</v>
      </c>
      <c r="H37" s="2">
        <v>2433463.0899999994</v>
      </c>
      <c r="I37" s="3">
        <f t="shared" si="3"/>
        <v>0.05</v>
      </c>
      <c r="J37" s="13">
        <f t="shared" si="4"/>
        <v>121673.15449999998</v>
      </c>
      <c r="K37" s="9">
        <f t="shared" si="5"/>
        <v>4313871.205500002</v>
      </c>
      <c r="L37" s="3">
        <f t="shared" si="6"/>
        <v>0.23500135008635606</v>
      </c>
    </row>
    <row r="38" spans="1:12" x14ac:dyDescent="0.35">
      <c r="A38" s="1" t="s">
        <v>55</v>
      </c>
      <c r="B38" s="2">
        <v>22684905.160000004</v>
      </c>
      <c r="C38" s="2">
        <v>4575741.9399999995</v>
      </c>
      <c r="D38" s="6">
        <f t="shared" si="7"/>
        <v>0.20170866519946248</v>
      </c>
      <c r="E38" s="2">
        <v>0</v>
      </c>
      <c r="F38" s="3">
        <f t="shared" si="1"/>
        <v>0.1</v>
      </c>
      <c r="G38" s="13">
        <f t="shared" si="2"/>
        <v>0</v>
      </c>
      <c r="H38" s="2">
        <v>127163.01</v>
      </c>
      <c r="I38" s="3">
        <f t="shared" si="3"/>
        <v>0.05</v>
      </c>
      <c r="J38" s="13">
        <f t="shared" si="4"/>
        <v>6358.1504999999997</v>
      </c>
      <c r="K38" s="9">
        <f t="shared" si="5"/>
        <v>6358.1504999999997</v>
      </c>
      <c r="L38" s="3">
        <f t="shared" si="6"/>
        <v>0.20196657894427311</v>
      </c>
    </row>
    <row r="39" spans="1:12" x14ac:dyDescent="0.35">
      <c r="A39" s="1" t="s">
        <v>56</v>
      </c>
      <c r="B39" s="2">
        <v>18228748.500000022</v>
      </c>
      <c r="C39" s="2">
        <v>3012501.4599999995</v>
      </c>
      <c r="D39" s="6">
        <f t="shared" si="7"/>
        <v>0.16526101394179615</v>
      </c>
      <c r="E39" s="2">
        <v>1448507.3899999985</v>
      </c>
      <c r="F39" s="3">
        <f t="shared" si="1"/>
        <v>0.05</v>
      </c>
      <c r="G39" s="13">
        <f t="shared" si="2"/>
        <v>72425.369499999928</v>
      </c>
      <c r="H39" s="2">
        <v>210274.34000000003</v>
      </c>
      <c r="I39" s="3">
        <f t="shared" si="3"/>
        <v>0</v>
      </c>
      <c r="J39" s="13">
        <f t="shared" si="4"/>
        <v>0</v>
      </c>
      <c r="K39" s="9">
        <f t="shared" si="5"/>
        <v>72425.369499999928</v>
      </c>
      <c r="L39" s="3">
        <f t="shared" si="6"/>
        <v>0.16890394782906509</v>
      </c>
    </row>
    <row r="40" spans="1:12" x14ac:dyDescent="0.35">
      <c r="A40" s="1" t="s">
        <v>57</v>
      </c>
      <c r="B40" s="2">
        <v>16582713.980000027</v>
      </c>
      <c r="C40" s="2">
        <v>2717329.6299999994</v>
      </c>
      <c r="D40" s="6">
        <f t="shared" si="7"/>
        <v>0.16386519319318291</v>
      </c>
      <c r="E40" s="2">
        <v>228429.07</v>
      </c>
      <c r="F40" s="3">
        <f t="shared" si="1"/>
        <v>0.05</v>
      </c>
      <c r="G40" s="13">
        <f t="shared" si="2"/>
        <v>11421.453500000001</v>
      </c>
      <c r="H40" s="2">
        <v>332536.24</v>
      </c>
      <c r="I40" s="3">
        <f t="shared" si="3"/>
        <v>0</v>
      </c>
      <c r="J40" s="13">
        <f t="shared" si="4"/>
        <v>0</v>
      </c>
      <c r="K40" s="9">
        <f t="shared" si="5"/>
        <v>11421.453500000001</v>
      </c>
      <c r="L40" s="3">
        <f t="shared" si="6"/>
        <v>0.16449640392053752</v>
      </c>
    </row>
    <row r="41" spans="1:12" x14ac:dyDescent="0.35">
      <c r="A41" s="1" t="s">
        <v>58</v>
      </c>
      <c r="B41" s="2">
        <v>22495119.23000003</v>
      </c>
      <c r="C41" s="2">
        <v>3616293.8500000015</v>
      </c>
      <c r="D41" s="6">
        <f t="shared" si="7"/>
        <v>0.16075904346295819</v>
      </c>
      <c r="E41" s="2">
        <v>3206076.399999999</v>
      </c>
      <c r="F41" s="3">
        <f t="shared" si="1"/>
        <v>0.05</v>
      </c>
      <c r="G41" s="13">
        <f t="shared" si="2"/>
        <v>160303.81999999995</v>
      </c>
      <c r="H41" s="2">
        <v>1072065.1400000001</v>
      </c>
      <c r="I41" s="3">
        <f t="shared" si="3"/>
        <v>0</v>
      </c>
      <c r="J41" s="13">
        <f t="shared" si="4"/>
        <v>0</v>
      </c>
      <c r="K41" s="9">
        <f t="shared" si="5"/>
        <v>160303.81999999995</v>
      </c>
      <c r="L41" s="3">
        <f t="shared" si="6"/>
        <v>0.16729180232474503</v>
      </c>
    </row>
    <row r="42" spans="1:12" x14ac:dyDescent="0.35">
      <c r="A42" s="1" t="s">
        <v>59</v>
      </c>
      <c r="B42" s="2">
        <v>17130298.679999989</v>
      </c>
      <c r="C42" s="2">
        <v>2738027.41</v>
      </c>
      <c r="D42" s="6">
        <f t="shared" si="7"/>
        <v>0.15983535728987078</v>
      </c>
      <c r="E42" s="2">
        <v>33188.019999999997</v>
      </c>
      <c r="F42" s="3">
        <f t="shared" si="1"/>
        <v>0.05</v>
      </c>
      <c r="G42" s="13">
        <f t="shared" si="2"/>
        <v>1659.4009999999998</v>
      </c>
      <c r="H42" s="2">
        <v>0</v>
      </c>
      <c r="I42" s="3">
        <f t="shared" si="3"/>
        <v>0</v>
      </c>
      <c r="J42" s="13">
        <f t="shared" si="4"/>
        <v>0</v>
      </c>
      <c r="K42" s="9">
        <f t="shared" si="5"/>
        <v>1659.4009999999998</v>
      </c>
      <c r="L42" s="3">
        <f t="shared" si="6"/>
        <v>0.1599240888845555</v>
      </c>
    </row>
    <row r="43" spans="1:12" x14ac:dyDescent="0.35">
      <c r="A43" s="1" t="s">
        <v>60</v>
      </c>
      <c r="B43" s="2">
        <v>159248021.77000019</v>
      </c>
      <c r="C43" s="2">
        <v>23127554.25999999</v>
      </c>
      <c r="D43" s="6">
        <f t="shared" si="7"/>
        <v>0.14522977430390194</v>
      </c>
      <c r="E43" s="2">
        <v>3566794.1699999981</v>
      </c>
      <c r="F43" s="3">
        <f t="shared" si="1"/>
        <v>0.05</v>
      </c>
      <c r="G43" s="13">
        <f t="shared" si="2"/>
        <v>178339.70849999992</v>
      </c>
      <c r="H43" s="2">
        <v>6869479.6699999981</v>
      </c>
      <c r="I43" s="3">
        <f t="shared" si="3"/>
        <v>0</v>
      </c>
      <c r="J43" s="13">
        <f t="shared" si="4"/>
        <v>0</v>
      </c>
      <c r="K43" s="9">
        <f t="shared" si="5"/>
        <v>178339.70849999992</v>
      </c>
      <c r="L43" s="3">
        <f t="shared" si="6"/>
        <v>0.14625405094054833</v>
      </c>
    </row>
    <row r="44" spans="1:12" x14ac:dyDescent="0.35">
      <c r="A44" s="1" t="s">
        <v>61</v>
      </c>
      <c r="B44" s="2">
        <v>106478786.21000029</v>
      </c>
      <c r="C44" s="2">
        <v>15033384.430000007</v>
      </c>
      <c r="D44" s="6">
        <f t="shared" si="7"/>
        <v>0.14118666229300142</v>
      </c>
      <c r="E44" s="2">
        <v>4228695.0500000007</v>
      </c>
      <c r="F44" s="3">
        <f t="shared" si="1"/>
        <v>0.05</v>
      </c>
      <c r="G44" s="13">
        <f t="shared" si="2"/>
        <v>211434.75250000006</v>
      </c>
      <c r="H44" s="2">
        <v>99667.859999999986</v>
      </c>
      <c r="I44" s="3">
        <f t="shared" si="3"/>
        <v>0</v>
      </c>
      <c r="J44" s="13">
        <f t="shared" si="4"/>
        <v>0</v>
      </c>
      <c r="K44" s="9">
        <f t="shared" si="5"/>
        <v>211434.75250000006</v>
      </c>
      <c r="L44" s="3">
        <f t="shared" si="6"/>
        <v>0.14300218674934684</v>
      </c>
    </row>
    <row r="45" spans="1:12" x14ac:dyDescent="0.35">
      <c r="A45" s="1" t="s">
        <v>62</v>
      </c>
      <c r="B45" s="2">
        <v>62063427.870000042</v>
      </c>
      <c r="C45" s="2">
        <v>8030496.7500000009</v>
      </c>
      <c r="D45" s="6">
        <f t="shared" si="7"/>
        <v>0.12939176944626593</v>
      </c>
      <c r="E45" s="2">
        <v>4586912.99</v>
      </c>
      <c r="F45" s="3">
        <f t="shared" si="1"/>
        <v>0.05</v>
      </c>
      <c r="G45" s="13">
        <f t="shared" si="2"/>
        <v>229345.64950000003</v>
      </c>
      <c r="H45" s="2">
        <v>25588324.400000002</v>
      </c>
      <c r="I45" s="3">
        <f t="shared" si="3"/>
        <v>0</v>
      </c>
      <c r="J45" s="13">
        <f t="shared" si="4"/>
        <v>0</v>
      </c>
      <c r="K45" s="9">
        <f t="shared" si="5"/>
        <v>229345.64950000003</v>
      </c>
      <c r="L45" s="3">
        <f t="shared" si="6"/>
        <v>0.13276663991128393</v>
      </c>
    </row>
    <row r="46" spans="1:12" x14ac:dyDescent="0.35">
      <c r="A46" s="1" t="s">
        <v>63</v>
      </c>
      <c r="B46" s="2">
        <v>27444346.929999992</v>
      </c>
      <c r="C46" s="2">
        <v>3532585.9100000015</v>
      </c>
      <c r="D46" s="6">
        <f t="shared" si="7"/>
        <v>0.12871816257862773</v>
      </c>
      <c r="E46" s="2">
        <v>834737.75000000035</v>
      </c>
      <c r="F46" s="3">
        <f t="shared" si="1"/>
        <v>0.05</v>
      </c>
      <c r="G46" s="13">
        <f t="shared" si="2"/>
        <v>41736.887500000019</v>
      </c>
      <c r="H46" s="2">
        <v>27041.670000000006</v>
      </c>
      <c r="I46" s="3">
        <f t="shared" si="3"/>
        <v>0</v>
      </c>
      <c r="J46" s="13">
        <f t="shared" si="4"/>
        <v>0</v>
      </c>
      <c r="K46" s="9">
        <f t="shared" si="5"/>
        <v>41736.887500000019</v>
      </c>
      <c r="L46" s="3">
        <f t="shared" si="6"/>
        <v>0.13010665338595978</v>
      </c>
    </row>
    <row r="47" spans="1:12" x14ac:dyDescent="0.35">
      <c r="A47" s="1" t="s">
        <v>64</v>
      </c>
      <c r="B47" s="2">
        <v>10677442.140000002</v>
      </c>
      <c r="C47" s="2">
        <v>1359615.2400000002</v>
      </c>
      <c r="D47" s="6">
        <f t="shared" si="7"/>
        <v>0.1273352945558551</v>
      </c>
      <c r="E47" s="2">
        <v>226748.97999999998</v>
      </c>
      <c r="F47" s="3">
        <f t="shared" si="1"/>
        <v>0.05</v>
      </c>
      <c r="G47" s="13">
        <f t="shared" si="2"/>
        <v>11337.449000000001</v>
      </c>
      <c r="H47" s="2">
        <v>140279.38</v>
      </c>
      <c r="I47" s="3">
        <f t="shared" si="3"/>
        <v>0</v>
      </c>
      <c r="J47" s="13">
        <f t="shared" si="4"/>
        <v>0</v>
      </c>
      <c r="K47" s="9">
        <f t="shared" si="5"/>
        <v>11337.449000000001</v>
      </c>
      <c r="L47" s="3">
        <f t="shared" si="6"/>
        <v>0.12830454998177948</v>
      </c>
    </row>
    <row r="48" spans="1:12" x14ac:dyDescent="0.35">
      <c r="A48" s="1" t="s">
        <v>65</v>
      </c>
      <c r="B48" s="2">
        <v>9288465.9600000009</v>
      </c>
      <c r="C48" s="2">
        <v>1063300.9700000002</v>
      </c>
      <c r="D48" s="6">
        <f t="shared" si="7"/>
        <v>0.11447541225634207</v>
      </c>
      <c r="E48" s="2">
        <v>1120473.2399999998</v>
      </c>
      <c r="F48" s="3">
        <f t="shared" si="1"/>
        <v>0.05</v>
      </c>
      <c r="G48" s="13">
        <f t="shared" si="2"/>
        <v>56023.661999999989</v>
      </c>
      <c r="H48" s="2">
        <v>487554.1</v>
      </c>
      <c r="I48" s="3">
        <f t="shared" si="3"/>
        <v>0</v>
      </c>
      <c r="J48" s="13">
        <f t="shared" si="4"/>
        <v>0</v>
      </c>
      <c r="K48" s="9">
        <f t="shared" si="5"/>
        <v>56023.661999999989</v>
      </c>
      <c r="L48" s="3">
        <f t="shared" si="6"/>
        <v>0.11997615332232742</v>
      </c>
    </row>
    <row r="49" spans="1:12" x14ac:dyDescent="0.35">
      <c r="A49" s="1" t="s">
        <v>66</v>
      </c>
      <c r="B49" s="2">
        <v>25435168.750000004</v>
      </c>
      <c r="C49" s="2">
        <v>2838377.87</v>
      </c>
      <c r="D49" s="6">
        <f t="shared" si="7"/>
        <v>0.11159264944920012</v>
      </c>
      <c r="E49" s="2">
        <v>577391.33000000007</v>
      </c>
      <c r="F49" s="3">
        <f t="shared" si="1"/>
        <v>0.05</v>
      </c>
      <c r="G49" s="13">
        <f t="shared" si="2"/>
        <v>28869.566500000004</v>
      </c>
      <c r="H49" s="2">
        <v>49522.92</v>
      </c>
      <c r="I49" s="3">
        <f t="shared" si="3"/>
        <v>0</v>
      </c>
      <c r="J49" s="13">
        <f t="shared" si="4"/>
        <v>0</v>
      </c>
      <c r="K49" s="9">
        <f t="shared" si="5"/>
        <v>28869.566500000004</v>
      </c>
      <c r="L49" s="3">
        <f t="shared" si="6"/>
        <v>0.11262695589504552</v>
      </c>
    </row>
    <row r="50" spans="1:12" x14ac:dyDescent="0.35">
      <c r="A50" s="1" t="s">
        <v>67</v>
      </c>
      <c r="B50" s="2">
        <v>474916047.2299993</v>
      </c>
      <c r="C50" s="2">
        <v>42235911.320000008</v>
      </c>
      <c r="D50" s="6">
        <f t="shared" si="7"/>
        <v>8.8933426373662583E-2</v>
      </c>
      <c r="E50" s="2">
        <v>20291841.039999992</v>
      </c>
      <c r="F50" s="3">
        <f t="shared" si="1"/>
        <v>0.05</v>
      </c>
      <c r="G50" s="13">
        <f t="shared" si="2"/>
        <v>1014592.0519999997</v>
      </c>
      <c r="H50" s="2">
        <v>48134871.830000013</v>
      </c>
      <c r="I50" s="3">
        <f t="shared" si="3"/>
        <v>0</v>
      </c>
      <c r="J50" s="13">
        <f t="shared" si="4"/>
        <v>0</v>
      </c>
      <c r="K50" s="9">
        <f t="shared" si="5"/>
        <v>1014592.0519999997</v>
      </c>
      <c r="L50" s="3">
        <f t="shared" si="6"/>
        <v>9.0875565441865397E-2</v>
      </c>
    </row>
    <row r="51" spans="1:12" x14ac:dyDescent="0.35">
      <c r="A51" s="1" t="s">
        <v>68</v>
      </c>
      <c r="B51" s="2">
        <v>54358890.32</v>
      </c>
      <c r="C51" s="2">
        <v>4211371.3400000008</v>
      </c>
      <c r="D51" s="6">
        <f t="shared" si="7"/>
        <v>7.7473460462649135E-2</v>
      </c>
      <c r="E51" s="2">
        <v>464652.89</v>
      </c>
      <c r="F51" s="3">
        <f t="shared" si="1"/>
        <v>0.05</v>
      </c>
      <c r="G51" s="13">
        <f t="shared" si="2"/>
        <v>23232.644500000002</v>
      </c>
      <c r="H51" s="2">
        <v>137598.68</v>
      </c>
      <c r="I51" s="3">
        <f t="shared" si="3"/>
        <v>0</v>
      </c>
      <c r="J51" s="13">
        <f t="shared" si="4"/>
        <v>0</v>
      </c>
      <c r="K51" s="9">
        <f t="shared" si="5"/>
        <v>23232.644500000002</v>
      </c>
      <c r="L51" s="3">
        <f t="shared" si="6"/>
        <v>7.7861442495527677E-2</v>
      </c>
    </row>
    <row r="52" spans="1:12" x14ac:dyDescent="0.35">
      <c r="A52" s="1" t="s">
        <v>69</v>
      </c>
      <c r="B52" s="2">
        <v>953237883.33999932</v>
      </c>
      <c r="C52" s="2">
        <v>69133481.420000002</v>
      </c>
      <c r="D52" s="6">
        <f t="shared" si="7"/>
        <v>7.2524899217986272E-2</v>
      </c>
      <c r="E52" s="2">
        <v>42116.549999999996</v>
      </c>
      <c r="F52" s="3">
        <f t="shared" si="1"/>
        <v>0.05</v>
      </c>
      <c r="G52" s="13">
        <f t="shared" si="2"/>
        <v>2105.8274999999999</v>
      </c>
      <c r="H52" s="2">
        <v>21577403.419999998</v>
      </c>
      <c r="I52" s="3">
        <f t="shared" si="3"/>
        <v>0</v>
      </c>
      <c r="J52" s="13">
        <f t="shared" si="4"/>
        <v>0</v>
      </c>
      <c r="K52" s="9">
        <f t="shared" si="5"/>
        <v>2105.8274999999999</v>
      </c>
      <c r="L52" s="3">
        <f t="shared" si="6"/>
        <v>7.2526903458164052E-2</v>
      </c>
    </row>
    <row r="53" spans="1:12" x14ac:dyDescent="0.35">
      <c r="A53" s="1" t="s">
        <v>70</v>
      </c>
      <c r="B53" s="2">
        <v>14012104.930000057</v>
      </c>
      <c r="C53" s="2">
        <v>730645.91</v>
      </c>
      <c r="D53" s="6">
        <f t="shared" si="7"/>
        <v>5.2143907974574168E-2</v>
      </c>
      <c r="E53" s="2">
        <v>1031725.6499999998</v>
      </c>
      <c r="F53" s="3">
        <f t="shared" si="1"/>
        <v>0.05</v>
      </c>
      <c r="G53" s="13">
        <f t="shared" si="2"/>
        <v>51586.282499999994</v>
      </c>
      <c r="H53" s="2">
        <v>0</v>
      </c>
      <c r="I53" s="3">
        <f t="shared" si="3"/>
        <v>0</v>
      </c>
      <c r="J53" s="13">
        <f t="shared" si="4"/>
        <v>0</v>
      </c>
      <c r="K53" s="9">
        <f t="shared" si="5"/>
        <v>51586.282499999994</v>
      </c>
      <c r="L53" s="3">
        <f t="shared" si="6"/>
        <v>5.5477728514809171E-2</v>
      </c>
    </row>
    <row r="54" spans="1:12" x14ac:dyDescent="0.35">
      <c r="A54" s="1" t="s">
        <v>71</v>
      </c>
      <c r="B54" s="2">
        <v>268078021.91000023</v>
      </c>
      <c r="C54" s="2">
        <v>12749950.899999999</v>
      </c>
      <c r="D54" s="6">
        <f t="shared" si="7"/>
        <v>4.7560597505007109E-2</v>
      </c>
      <c r="E54" s="2">
        <v>3162335.6599999992</v>
      </c>
      <c r="F54" s="3">
        <f t="shared" si="1"/>
        <v>0.05</v>
      </c>
      <c r="G54" s="13">
        <f t="shared" si="2"/>
        <v>158116.78299999997</v>
      </c>
      <c r="H54" s="2">
        <v>102087.21</v>
      </c>
      <c r="I54" s="3">
        <f t="shared" si="3"/>
        <v>0</v>
      </c>
      <c r="J54" s="13">
        <f t="shared" si="4"/>
        <v>0</v>
      </c>
      <c r="K54" s="9">
        <f t="shared" si="5"/>
        <v>158116.78299999997</v>
      </c>
      <c r="L54" s="3">
        <f t="shared" si="6"/>
        <v>4.8094268839895572E-2</v>
      </c>
    </row>
    <row r="55" spans="1:12" x14ac:dyDescent="0.35">
      <c r="A55" s="1" t="s">
        <v>72</v>
      </c>
      <c r="B55" s="2">
        <v>7015021.6799999969</v>
      </c>
      <c r="C55" s="2">
        <v>309651.61999999994</v>
      </c>
      <c r="D55" s="6">
        <f t="shared" si="7"/>
        <v>4.4141220672606687E-2</v>
      </c>
      <c r="E55" s="2">
        <v>90434.020000000019</v>
      </c>
      <c r="F55" s="3">
        <f t="shared" si="1"/>
        <v>0.05</v>
      </c>
      <c r="G55" s="13">
        <f t="shared" si="2"/>
        <v>4521.7010000000009</v>
      </c>
      <c r="H55" s="2">
        <v>57573.79</v>
      </c>
      <c r="I55" s="3">
        <f t="shared" si="3"/>
        <v>0</v>
      </c>
      <c r="J55" s="13">
        <f t="shared" si="4"/>
        <v>0</v>
      </c>
      <c r="K55" s="9">
        <f t="shared" si="5"/>
        <v>4521.7010000000009</v>
      </c>
      <c r="L55" s="3">
        <f t="shared" si="6"/>
        <v>4.4724220133142922E-2</v>
      </c>
    </row>
    <row r="56" spans="1:12" x14ac:dyDescent="0.35">
      <c r="A56" s="1" t="s">
        <v>73</v>
      </c>
      <c r="B56" s="2">
        <v>22339681.52999999</v>
      </c>
      <c r="C56" s="2">
        <v>837782.53</v>
      </c>
      <c r="D56" s="6">
        <f t="shared" si="7"/>
        <v>3.7501990745702471E-2</v>
      </c>
      <c r="E56" s="2">
        <v>785219.72</v>
      </c>
      <c r="F56" s="3">
        <f t="shared" si="1"/>
        <v>0.05</v>
      </c>
      <c r="G56" s="13">
        <f t="shared" si="2"/>
        <v>39260.985999999997</v>
      </c>
      <c r="H56" s="2">
        <v>0</v>
      </c>
      <c r="I56" s="3">
        <f t="shared" si="3"/>
        <v>0</v>
      </c>
      <c r="J56" s="13">
        <f t="shared" si="4"/>
        <v>0</v>
      </c>
      <c r="K56" s="9">
        <f t="shared" si="5"/>
        <v>39260.985999999997</v>
      </c>
      <c r="L56" s="3">
        <f t="shared" si="6"/>
        <v>3.9090570277849505E-2</v>
      </c>
    </row>
    <row r="57" spans="1:12" x14ac:dyDescent="0.35">
      <c r="A57" s="1" t="s">
        <v>74</v>
      </c>
      <c r="B57" s="2">
        <v>3101049.0499999947</v>
      </c>
      <c r="C57" s="2">
        <v>39891.149999999994</v>
      </c>
      <c r="D57" s="6">
        <f t="shared" si="7"/>
        <v>1.2863759765425208E-2</v>
      </c>
      <c r="E57" s="2">
        <v>19239.270000000004</v>
      </c>
      <c r="F57" s="3">
        <f t="shared" si="1"/>
        <v>0.05</v>
      </c>
      <c r="G57" s="13">
        <f t="shared" si="2"/>
        <v>961.96350000000029</v>
      </c>
      <c r="H57" s="2">
        <v>331371.15000000002</v>
      </c>
      <c r="I57" s="3">
        <f t="shared" si="3"/>
        <v>0</v>
      </c>
      <c r="J57" s="13">
        <f t="shared" si="4"/>
        <v>0</v>
      </c>
      <c r="K57" s="9">
        <f t="shared" si="5"/>
        <v>961.96350000000029</v>
      </c>
      <c r="L57" s="3">
        <f t="shared" si="6"/>
        <v>1.3143352728509505E-2</v>
      </c>
    </row>
    <row r="58" spans="1:12" x14ac:dyDescent="0.35">
      <c r="A58" s="1" t="s">
        <v>75</v>
      </c>
      <c r="B58" s="2">
        <v>76977565.669999897</v>
      </c>
      <c r="C58" s="2">
        <v>932280.7999999997</v>
      </c>
      <c r="D58" s="6">
        <f t="shared" si="7"/>
        <v>1.2111071477586789E-2</v>
      </c>
      <c r="E58" s="2">
        <v>0</v>
      </c>
      <c r="F58" s="3">
        <f t="shared" si="1"/>
        <v>0.05</v>
      </c>
      <c r="G58" s="13">
        <f t="shared" si="2"/>
        <v>0</v>
      </c>
      <c r="H58" s="2">
        <v>0</v>
      </c>
      <c r="I58" s="3">
        <f t="shared" si="3"/>
        <v>0</v>
      </c>
      <c r="J58" s="13">
        <f t="shared" si="4"/>
        <v>0</v>
      </c>
      <c r="K58" s="9">
        <f t="shared" si="5"/>
        <v>0</v>
      </c>
      <c r="L58" s="3">
        <f t="shared" si="6"/>
        <v>1.2111071477586789E-2</v>
      </c>
    </row>
    <row r="59" spans="1:12" x14ac:dyDescent="0.35">
      <c r="A59" s="1" t="s">
        <v>76</v>
      </c>
      <c r="B59" s="2">
        <v>22773527.71999995</v>
      </c>
      <c r="C59" s="2">
        <v>81282.820000000007</v>
      </c>
      <c r="D59" s="6">
        <f t="shared" si="7"/>
        <v>3.569180014592846E-3</v>
      </c>
      <c r="E59" s="2">
        <v>396513.1</v>
      </c>
      <c r="F59" s="3">
        <f t="shared" si="1"/>
        <v>0.05</v>
      </c>
      <c r="G59" s="13">
        <f t="shared" si="2"/>
        <v>19825.654999999999</v>
      </c>
      <c r="H59" s="2">
        <v>35064.71</v>
      </c>
      <c r="I59" s="3">
        <f t="shared" si="3"/>
        <v>0</v>
      </c>
      <c r="J59" s="13">
        <f t="shared" si="4"/>
        <v>0</v>
      </c>
      <c r="K59" s="9">
        <f t="shared" si="5"/>
        <v>19825.654999999999</v>
      </c>
      <c r="L59" s="3">
        <f t="shared" si="6"/>
        <v>4.3530603139774835E-3</v>
      </c>
    </row>
    <row r="60" spans="1:12" x14ac:dyDescent="0.35">
      <c r="A60" s="1" t="s">
        <v>77</v>
      </c>
      <c r="B60" s="2">
        <v>4108383.0300000003</v>
      </c>
      <c r="C60" s="2">
        <v>12686.79</v>
      </c>
      <c r="D60" s="6">
        <f t="shared" si="7"/>
        <v>3.0880251201894386E-3</v>
      </c>
      <c r="E60" s="2">
        <v>0</v>
      </c>
      <c r="F60" s="3">
        <f t="shared" si="1"/>
        <v>0.05</v>
      </c>
      <c r="G60" s="13">
        <f t="shared" si="2"/>
        <v>0</v>
      </c>
      <c r="H60" s="2"/>
      <c r="I60" s="3">
        <f t="shared" si="3"/>
        <v>0</v>
      </c>
      <c r="J60" s="13">
        <f t="shared" si="4"/>
        <v>0</v>
      </c>
      <c r="K60" s="9">
        <f t="shared" si="5"/>
        <v>0</v>
      </c>
      <c r="L60" s="3">
        <f t="shared" si="6"/>
        <v>3.0880251201894386E-3</v>
      </c>
    </row>
    <row r="61" spans="1:12" x14ac:dyDescent="0.35">
      <c r="A61" s="1" t="s">
        <v>78</v>
      </c>
      <c r="B61" s="2">
        <v>3104907.0000000023</v>
      </c>
      <c r="C61" s="2">
        <v>5688.2699999999995</v>
      </c>
      <c r="D61" s="6">
        <f t="shared" si="7"/>
        <v>1.832025886765689E-3</v>
      </c>
      <c r="E61" s="2">
        <v>0</v>
      </c>
      <c r="F61" s="3">
        <f t="shared" si="1"/>
        <v>0.05</v>
      </c>
      <c r="G61" s="13">
        <f t="shared" si="2"/>
        <v>0</v>
      </c>
      <c r="H61" s="2">
        <v>0</v>
      </c>
      <c r="I61" s="3">
        <f t="shared" si="3"/>
        <v>0</v>
      </c>
      <c r="J61" s="13">
        <f t="shared" si="4"/>
        <v>0</v>
      </c>
      <c r="K61" s="9">
        <f t="shared" si="5"/>
        <v>0</v>
      </c>
      <c r="L61" s="3">
        <f t="shared" si="6"/>
        <v>1.832025886765689E-3</v>
      </c>
    </row>
    <row r="62" spans="1:12" x14ac:dyDescent="0.35">
      <c r="A62" s="1" t="s">
        <v>79</v>
      </c>
      <c r="B62" s="2">
        <v>16722818.950000009</v>
      </c>
      <c r="C62" s="2">
        <v>7950.5199999999995</v>
      </c>
      <c r="D62" s="6">
        <f t="shared" si="7"/>
        <v>4.7542941317318965E-4</v>
      </c>
      <c r="E62" s="2">
        <v>95970.069999999992</v>
      </c>
      <c r="F62" s="3">
        <f t="shared" si="1"/>
        <v>0.05</v>
      </c>
      <c r="G62" s="13">
        <f t="shared" si="2"/>
        <v>4798.5034999999998</v>
      </c>
      <c r="H62" s="2">
        <v>0</v>
      </c>
      <c r="I62" s="3">
        <f t="shared" si="3"/>
        <v>0</v>
      </c>
      <c r="J62" s="13">
        <f t="shared" si="4"/>
        <v>0</v>
      </c>
      <c r="K62" s="9">
        <f t="shared" si="5"/>
        <v>4798.5034999999998</v>
      </c>
      <c r="L62" s="3">
        <f t="shared" si="6"/>
        <v>7.3369957856295274E-4</v>
      </c>
    </row>
    <row r="63" spans="1:12" x14ac:dyDescent="0.35">
      <c r="A63" s="1" t="s">
        <v>80</v>
      </c>
      <c r="B63" s="2">
        <v>3968947.5800000005</v>
      </c>
      <c r="C63" s="2">
        <v>375</v>
      </c>
      <c r="D63" s="6">
        <f t="shared" si="7"/>
        <v>9.4483485216501631E-5</v>
      </c>
      <c r="E63" s="2">
        <v>0</v>
      </c>
      <c r="F63" s="3">
        <f t="shared" si="1"/>
        <v>0.05</v>
      </c>
      <c r="G63" s="13">
        <f t="shared" si="2"/>
        <v>0</v>
      </c>
      <c r="H63" s="2">
        <v>0</v>
      </c>
      <c r="I63" s="3">
        <f t="shared" si="3"/>
        <v>0</v>
      </c>
      <c r="J63" s="13">
        <f t="shared" si="4"/>
        <v>0</v>
      </c>
      <c r="K63" s="9">
        <f t="shared" si="5"/>
        <v>0</v>
      </c>
      <c r="L63" s="3">
        <f t="shared" si="6"/>
        <v>9.4483485216501631E-5</v>
      </c>
    </row>
    <row r="64" spans="1:12" x14ac:dyDescent="0.35">
      <c r="A64" s="1" t="s">
        <v>81</v>
      </c>
      <c r="B64" s="2">
        <v>1241867.28</v>
      </c>
      <c r="C64" s="2">
        <v>112.54</v>
      </c>
      <c r="D64" s="6">
        <f t="shared" si="7"/>
        <v>9.0621600079518965E-5</v>
      </c>
      <c r="E64" s="2">
        <v>0</v>
      </c>
      <c r="F64" s="3">
        <f t="shared" si="1"/>
        <v>0.05</v>
      </c>
      <c r="G64" s="13">
        <f t="shared" si="2"/>
        <v>0</v>
      </c>
      <c r="H64" s="2">
        <v>0</v>
      </c>
      <c r="I64" s="3">
        <f t="shared" si="3"/>
        <v>0</v>
      </c>
      <c r="J64" s="13">
        <f t="shared" si="4"/>
        <v>0</v>
      </c>
      <c r="K64" s="9">
        <f t="shared" si="5"/>
        <v>0</v>
      </c>
      <c r="L64" s="3">
        <f t="shared" si="6"/>
        <v>9.0621600079518965E-5</v>
      </c>
    </row>
    <row r="65" spans="1:12" x14ac:dyDescent="0.35">
      <c r="A65" s="1" t="s">
        <v>82</v>
      </c>
      <c r="B65" s="2">
        <v>11629.850000000002</v>
      </c>
      <c r="C65" s="2"/>
      <c r="D65" s="6">
        <f t="shared" si="7"/>
        <v>0</v>
      </c>
      <c r="E65" s="2">
        <v>0</v>
      </c>
      <c r="F65" s="3">
        <f t="shared" si="1"/>
        <v>0.05</v>
      </c>
      <c r="G65" s="13">
        <f t="shared" si="2"/>
        <v>0</v>
      </c>
      <c r="H65" s="2"/>
      <c r="I65" s="3">
        <f t="shared" si="3"/>
        <v>0</v>
      </c>
      <c r="J65" s="13">
        <f t="shared" si="4"/>
        <v>0</v>
      </c>
      <c r="K65" s="9">
        <f t="shared" si="5"/>
        <v>0</v>
      </c>
      <c r="L65" s="3">
        <f t="shared" si="6"/>
        <v>0</v>
      </c>
    </row>
    <row r="66" spans="1:12" x14ac:dyDescent="0.35">
      <c r="A66" s="1" t="s">
        <v>83</v>
      </c>
      <c r="B66" s="2">
        <v>97072.86</v>
      </c>
      <c r="C66" s="2"/>
      <c r="D66" s="6">
        <f t="shared" si="7"/>
        <v>0</v>
      </c>
      <c r="E66" s="2"/>
      <c r="F66" s="3">
        <f t="shared" si="1"/>
        <v>0.05</v>
      </c>
      <c r="G66" s="13">
        <f t="shared" si="2"/>
        <v>0</v>
      </c>
      <c r="H66" s="2">
        <v>0</v>
      </c>
      <c r="I66" s="3">
        <f t="shared" si="3"/>
        <v>0</v>
      </c>
      <c r="J66" s="13">
        <f t="shared" si="4"/>
        <v>0</v>
      </c>
      <c r="K66" s="9">
        <f t="shared" si="5"/>
        <v>0</v>
      </c>
      <c r="L66" s="3">
        <f t="shared" si="6"/>
        <v>0</v>
      </c>
    </row>
    <row r="67" spans="1:12" x14ac:dyDescent="0.35">
      <c r="A67" s="1" t="s">
        <v>84</v>
      </c>
      <c r="B67" s="2">
        <v>23763201.179999989</v>
      </c>
      <c r="C67" s="2"/>
      <c r="D67" s="6">
        <f t="shared" si="7"/>
        <v>0</v>
      </c>
      <c r="E67" s="2">
        <v>0</v>
      </c>
      <c r="F67" s="3">
        <f t="shared" si="1"/>
        <v>0.05</v>
      </c>
      <c r="G67" s="13">
        <f t="shared" si="2"/>
        <v>0</v>
      </c>
      <c r="H67" s="2">
        <v>2312.2600000000002</v>
      </c>
      <c r="I67" s="3">
        <f t="shared" si="3"/>
        <v>0</v>
      </c>
      <c r="J67" s="13">
        <f t="shared" si="4"/>
        <v>0</v>
      </c>
      <c r="K67" s="9">
        <f t="shared" si="5"/>
        <v>0</v>
      </c>
      <c r="L67" s="3">
        <f t="shared" si="6"/>
        <v>0</v>
      </c>
    </row>
    <row r="68" spans="1:12" x14ac:dyDescent="0.35">
      <c r="A68" s="1" t="s">
        <v>85</v>
      </c>
      <c r="B68" s="2">
        <v>1551.6799999999998</v>
      </c>
      <c r="C68" s="2"/>
      <c r="D68" s="6">
        <f t="shared" ref="D68:D99" si="8">C68/B68</f>
        <v>0</v>
      </c>
      <c r="E68" s="2">
        <v>0</v>
      </c>
      <c r="F68" s="3">
        <f t="shared" si="1"/>
        <v>0.05</v>
      </c>
      <c r="G68" s="13">
        <f t="shared" si="2"/>
        <v>0</v>
      </c>
      <c r="H68" s="2"/>
      <c r="I68" s="3">
        <f t="shared" si="3"/>
        <v>0</v>
      </c>
      <c r="J68" s="13">
        <f t="shared" si="4"/>
        <v>0</v>
      </c>
      <c r="K68" s="9">
        <f t="shared" si="5"/>
        <v>0</v>
      </c>
      <c r="L68" s="3">
        <f t="shared" si="6"/>
        <v>0</v>
      </c>
    </row>
    <row r="69" spans="1:12" x14ac:dyDescent="0.35">
      <c r="A69" s="1" t="s">
        <v>86</v>
      </c>
      <c r="B69" s="2">
        <v>179011221.25999999</v>
      </c>
      <c r="C69" s="2"/>
      <c r="D69" s="6">
        <f t="shared" si="8"/>
        <v>0</v>
      </c>
      <c r="E69" s="2">
        <v>0</v>
      </c>
      <c r="F69" s="3">
        <f t="shared" ref="F69:F107" si="9">IF(D69&gt;30%,0.3,IF(D69&gt;0.2,10%,5%))</f>
        <v>0.05</v>
      </c>
      <c r="G69" s="13">
        <f t="shared" ref="G69:G107" si="10">F69*E69</f>
        <v>0</v>
      </c>
      <c r="H69" s="2"/>
      <c r="I69" s="3">
        <f t="shared" ref="I69:I107" si="11">IF(D69&gt;0.3,10%,IF(D69&gt;0.2,5%,0%))</f>
        <v>0</v>
      </c>
      <c r="J69" s="13">
        <f t="shared" ref="J69:J107" si="12">I69*H69</f>
        <v>0</v>
      </c>
      <c r="K69" s="9">
        <f t="shared" ref="K69:K107" si="13">F69*E69+I69*H69</f>
        <v>0</v>
      </c>
      <c r="L69" s="3">
        <f t="shared" ref="L69:L107" si="14">(C69+K69*0.9)/(B69-K69*0.1)</f>
        <v>0</v>
      </c>
    </row>
    <row r="70" spans="1:12" x14ac:dyDescent="0.35">
      <c r="A70" s="1" t="s">
        <v>87</v>
      </c>
      <c r="B70" s="2">
        <v>106601.84</v>
      </c>
      <c r="C70" s="2"/>
      <c r="D70" s="6">
        <f t="shared" si="8"/>
        <v>0</v>
      </c>
      <c r="E70" s="2">
        <v>0</v>
      </c>
      <c r="F70" s="3">
        <f t="shared" si="9"/>
        <v>0.05</v>
      </c>
      <c r="G70" s="13">
        <f t="shared" si="10"/>
        <v>0</v>
      </c>
      <c r="H70" s="2"/>
      <c r="I70" s="3">
        <f t="shared" si="11"/>
        <v>0</v>
      </c>
      <c r="J70" s="13">
        <f t="shared" si="12"/>
        <v>0</v>
      </c>
      <c r="K70" s="9">
        <f t="shared" si="13"/>
        <v>0</v>
      </c>
      <c r="L70" s="3">
        <f t="shared" si="14"/>
        <v>0</v>
      </c>
    </row>
    <row r="71" spans="1:12" x14ac:dyDescent="0.35">
      <c r="A71" s="1" t="s">
        <v>88</v>
      </c>
      <c r="B71" s="2">
        <v>14447631.529999997</v>
      </c>
      <c r="C71" s="2"/>
      <c r="D71" s="6">
        <f t="shared" si="8"/>
        <v>0</v>
      </c>
      <c r="E71" s="2">
        <v>0</v>
      </c>
      <c r="F71" s="3">
        <f t="shared" si="9"/>
        <v>0.05</v>
      </c>
      <c r="G71" s="13">
        <f t="shared" si="10"/>
        <v>0</v>
      </c>
      <c r="H71" s="2">
        <v>0</v>
      </c>
      <c r="I71" s="3">
        <f t="shared" si="11"/>
        <v>0</v>
      </c>
      <c r="J71" s="13">
        <f t="shared" si="12"/>
        <v>0</v>
      </c>
      <c r="K71" s="9">
        <f t="shared" si="13"/>
        <v>0</v>
      </c>
      <c r="L71" s="3">
        <f t="shared" si="14"/>
        <v>0</v>
      </c>
    </row>
    <row r="72" spans="1:12" x14ac:dyDescent="0.35">
      <c r="A72" s="1" t="s">
        <v>89</v>
      </c>
      <c r="B72" s="2">
        <v>22119824.569999989</v>
      </c>
      <c r="C72" s="2"/>
      <c r="D72" s="6">
        <f t="shared" si="8"/>
        <v>0</v>
      </c>
      <c r="E72" s="2">
        <v>0</v>
      </c>
      <c r="F72" s="3">
        <f t="shared" si="9"/>
        <v>0.05</v>
      </c>
      <c r="G72" s="13">
        <f t="shared" si="10"/>
        <v>0</v>
      </c>
      <c r="H72" s="2">
        <v>0</v>
      </c>
      <c r="I72" s="3">
        <f t="shared" si="11"/>
        <v>0</v>
      </c>
      <c r="J72" s="13">
        <f t="shared" si="12"/>
        <v>0</v>
      </c>
      <c r="K72" s="9">
        <f t="shared" si="13"/>
        <v>0</v>
      </c>
      <c r="L72" s="3">
        <f t="shared" si="14"/>
        <v>0</v>
      </c>
    </row>
    <row r="73" spans="1:12" x14ac:dyDescent="0.35">
      <c r="A73" s="1" t="s">
        <v>90</v>
      </c>
      <c r="B73" s="2">
        <v>436531.66000000015</v>
      </c>
      <c r="C73" s="2"/>
      <c r="D73" s="6">
        <f t="shared" si="8"/>
        <v>0</v>
      </c>
      <c r="E73" s="2">
        <v>0</v>
      </c>
      <c r="F73" s="3">
        <f t="shared" si="9"/>
        <v>0.05</v>
      </c>
      <c r="G73" s="13">
        <f t="shared" si="10"/>
        <v>0</v>
      </c>
      <c r="H73" s="2">
        <v>0</v>
      </c>
      <c r="I73" s="3">
        <f t="shared" si="11"/>
        <v>0</v>
      </c>
      <c r="J73" s="13">
        <f t="shared" si="12"/>
        <v>0</v>
      </c>
      <c r="K73" s="9">
        <f t="shared" si="13"/>
        <v>0</v>
      </c>
      <c r="L73" s="3">
        <f t="shared" si="14"/>
        <v>0</v>
      </c>
    </row>
    <row r="74" spans="1:12" x14ac:dyDescent="0.35">
      <c r="A74" s="1" t="s">
        <v>91</v>
      </c>
      <c r="B74" s="2">
        <v>3963504.5799999987</v>
      </c>
      <c r="C74" s="2"/>
      <c r="D74" s="6">
        <f t="shared" si="8"/>
        <v>0</v>
      </c>
      <c r="E74" s="2">
        <v>0</v>
      </c>
      <c r="F74" s="3">
        <f t="shared" si="9"/>
        <v>0.05</v>
      </c>
      <c r="G74" s="13">
        <f t="shared" si="10"/>
        <v>0</v>
      </c>
      <c r="H74" s="2">
        <v>0</v>
      </c>
      <c r="I74" s="3">
        <f t="shared" si="11"/>
        <v>0</v>
      </c>
      <c r="J74" s="13">
        <f t="shared" si="12"/>
        <v>0</v>
      </c>
      <c r="K74" s="9">
        <f t="shared" si="13"/>
        <v>0</v>
      </c>
      <c r="L74" s="3">
        <f t="shared" si="14"/>
        <v>0</v>
      </c>
    </row>
    <row r="75" spans="1:12" x14ac:dyDescent="0.35">
      <c r="A75" s="1" t="s">
        <v>92</v>
      </c>
      <c r="B75" s="2">
        <v>167753696.16999987</v>
      </c>
      <c r="C75" s="2"/>
      <c r="D75" s="6">
        <f t="shared" si="8"/>
        <v>0</v>
      </c>
      <c r="E75" s="2">
        <v>108638.94999999998</v>
      </c>
      <c r="F75" s="3">
        <f t="shared" si="9"/>
        <v>0.05</v>
      </c>
      <c r="G75" s="13">
        <f t="shared" si="10"/>
        <v>5431.9474999999993</v>
      </c>
      <c r="H75" s="2">
        <v>31281.600000000002</v>
      </c>
      <c r="I75" s="3">
        <f t="shared" si="11"/>
        <v>0</v>
      </c>
      <c r="J75" s="13">
        <f t="shared" si="12"/>
        <v>0</v>
      </c>
      <c r="K75" s="9">
        <f t="shared" si="13"/>
        <v>5431.9474999999993</v>
      </c>
      <c r="L75" s="3">
        <f t="shared" si="14"/>
        <v>2.9142538684332699E-5</v>
      </c>
    </row>
    <row r="76" spans="1:12" x14ac:dyDescent="0.35">
      <c r="A76" s="1" t="s">
        <v>93</v>
      </c>
      <c r="B76" s="2">
        <v>4920543.2300000042</v>
      </c>
      <c r="C76" s="2"/>
      <c r="D76" s="6">
        <f t="shared" si="8"/>
        <v>0</v>
      </c>
      <c r="E76" s="2">
        <v>0</v>
      </c>
      <c r="F76" s="3">
        <f t="shared" si="9"/>
        <v>0.05</v>
      </c>
      <c r="G76" s="13">
        <f t="shared" si="10"/>
        <v>0</v>
      </c>
      <c r="H76" s="2">
        <v>0</v>
      </c>
      <c r="I76" s="3">
        <f t="shared" si="11"/>
        <v>0</v>
      </c>
      <c r="J76" s="13">
        <f t="shared" si="12"/>
        <v>0</v>
      </c>
      <c r="K76" s="9">
        <f t="shared" si="13"/>
        <v>0</v>
      </c>
      <c r="L76" s="3">
        <f t="shared" si="14"/>
        <v>0</v>
      </c>
    </row>
    <row r="77" spans="1:12" x14ac:dyDescent="0.35">
      <c r="A77" s="1" t="s">
        <v>94</v>
      </c>
      <c r="B77" s="2">
        <v>81432043.010000065</v>
      </c>
      <c r="C77" s="2"/>
      <c r="D77" s="6">
        <f t="shared" si="8"/>
        <v>0</v>
      </c>
      <c r="E77" s="2">
        <v>0</v>
      </c>
      <c r="F77" s="3">
        <f t="shared" si="9"/>
        <v>0.05</v>
      </c>
      <c r="G77" s="13">
        <f t="shared" si="10"/>
        <v>0</v>
      </c>
      <c r="H77" s="2">
        <v>0</v>
      </c>
      <c r="I77" s="3">
        <f t="shared" si="11"/>
        <v>0</v>
      </c>
      <c r="J77" s="13">
        <f t="shared" si="12"/>
        <v>0</v>
      </c>
      <c r="K77" s="9">
        <f t="shared" si="13"/>
        <v>0</v>
      </c>
      <c r="L77" s="3">
        <f t="shared" si="14"/>
        <v>0</v>
      </c>
    </row>
    <row r="78" spans="1:12" x14ac:dyDescent="0.35">
      <c r="A78" s="1" t="s">
        <v>95</v>
      </c>
      <c r="B78" s="2">
        <v>164374266.47000062</v>
      </c>
      <c r="C78" s="2"/>
      <c r="D78" s="6">
        <f t="shared" si="8"/>
        <v>0</v>
      </c>
      <c r="E78" s="2">
        <v>0</v>
      </c>
      <c r="F78" s="3">
        <f t="shared" si="9"/>
        <v>0.05</v>
      </c>
      <c r="G78" s="13">
        <f t="shared" si="10"/>
        <v>0</v>
      </c>
      <c r="H78" s="2">
        <v>0</v>
      </c>
      <c r="I78" s="3">
        <f t="shared" si="11"/>
        <v>0</v>
      </c>
      <c r="J78" s="13">
        <f t="shared" si="12"/>
        <v>0</v>
      </c>
      <c r="K78" s="9">
        <f t="shared" si="13"/>
        <v>0</v>
      </c>
      <c r="L78" s="3">
        <f t="shared" si="14"/>
        <v>0</v>
      </c>
    </row>
    <row r="79" spans="1:12" x14ac:dyDescent="0.35">
      <c r="A79" s="1" t="s">
        <v>96</v>
      </c>
      <c r="B79" s="2">
        <v>664035.83999999939</v>
      </c>
      <c r="C79" s="2"/>
      <c r="D79" s="6">
        <f t="shared" si="8"/>
        <v>0</v>
      </c>
      <c r="E79" s="2">
        <v>0</v>
      </c>
      <c r="F79" s="3">
        <f t="shared" si="9"/>
        <v>0.05</v>
      </c>
      <c r="G79" s="13">
        <f t="shared" si="10"/>
        <v>0</v>
      </c>
      <c r="H79" s="2">
        <v>0</v>
      </c>
      <c r="I79" s="3">
        <f t="shared" si="11"/>
        <v>0</v>
      </c>
      <c r="J79" s="13">
        <f t="shared" si="12"/>
        <v>0</v>
      </c>
      <c r="K79" s="9">
        <f t="shared" si="13"/>
        <v>0</v>
      </c>
      <c r="L79" s="3">
        <f t="shared" si="14"/>
        <v>0</v>
      </c>
    </row>
    <row r="80" spans="1:12" x14ac:dyDescent="0.35">
      <c r="A80" s="1" t="s">
        <v>97</v>
      </c>
      <c r="B80" s="2">
        <v>3257911.1400000011</v>
      </c>
      <c r="C80" s="2"/>
      <c r="D80" s="6">
        <f t="shared" si="8"/>
        <v>0</v>
      </c>
      <c r="E80" s="2">
        <v>0</v>
      </c>
      <c r="F80" s="3">
        <f t="shared" si="9"/>
        <v>0.05</v>
      </c>
      <c r="G80" s="13">
        <f t="shared" si="10"/>
        <v>0</v>
      </c>
      <c r="H80" s="2"/>
      <c r="I80" s="3">
        <f t="shared" si="11"/>
        <v>0</v>
      </c>
      <c r="J80" s="13">
        <f t="shared" si="12"/>
        <v>0</v>
      </c>
      <c r="K80" s="9">
        <f t="shared" si="13"/>
        <v>0</v>
      </c>
      <c r="L80" s="3">
        <f t="shared" si="14"/>
        <v>0</v>
      </c>
    </row>
    <row r="81" spans="1:12" x14ac:dyDescent="0.35">
      <c r="A81" s="1" t="s">
        <v>98</v>
      </c>
      <c r="B81" s="2">
        <v>4197564.9000000004</v>
      </c>
      <c r="C81" s="2"/>
      <c r="D81" s="6">
        <f t="shared" si="8"/>
        <v>0</v>
      </c>
      <c r="E81" s="2">
        <v>0</v>
      </c>
      <c r="F81" s="3">
        <f t="shared" si="9"/>
        <v>0.05</v>
      </c>
      <c r="G81" s="13">
        <f t="shared" si="10"/>
        <v>0</v>
      </c>
      <c r="H81" s="2">
        <v>0</v>
      </c>
      <c r="I81" s="3">
        <f t="shared" si="11"/>
        <v>0</v>
      </c>
      <c r="J81" s="13">
        <f t="shared" si="12"/>
        <v>0</v>
      </c>
      <c r="K81" s="9">
        <f t="shared" si="13"/>
        <v>0</v>
      </c>
      <c r="L81" s="3">
        <f t="shared" si="14"/>
        <v>0</v>
      </c>
    </row>
    <row r="82" spans="1:12" x14ac:dyDescent="0.35">
      <c r="A82" s="1" t="s">
        <v>99</v>
      </c>
      <c r="B82" s="2">
        <v>24834836.540000029</v>
      </c>
      <c r="C82" s="2"/>
      <c r="D82" s="6">
        <f t="shared" si="8"/>
        <v>0</v>
      </c>
      <c r="E82" s="2">
        <v>0</v>
      </c>
      <c r="F82" s="3">
        <f t="shared" si="9"/>
        <v>0.05</v>
      </c>
      <c r="G82" s="13">
        <f t="shared" si="10"/>
        <v>0</v>
      </c>
      <c r="H82" s="2">
        <v>0</v>
      </c>
      <c r="I82" s="3">
        <f t="shared" si="11"/>
        <v>0</v>
      </c>
      <c r="J82" s="13">
        <f t="shared" si="12"/>
        <v>0</v>
      </c>
      <c r="K82" s="9">
        <f t="shared" si="13"/>
        <v>0</v>
      </c>
      <c r="L82" s="3">
        <f t="shared" si="14"/>
        <v>0</v>
      </c>
    </row>
    <row r="83" spans="1:12" x14ac:dyDescent="0.35">
      <c r="A83" s="1" t="s">
        <v>100</v>
      </c>
      <c r="B83" s="2">
        <v>176035.27999999997</v>
      </c>
      <c r="C83" s="2"/>
      <c r="D83" s="6">
        <f t="shared" si="8"/>
        <v>0</v>
      </c>
      <c r="E83" s="2">
        <v>0</v>
      </c>
      <c r="F83" s="3">
        <f t="shared" si="9"/>
        <v>0.05</v>
      </c>
      <c r="G83" s="13">
        <f t="shared" si="10"/>
        <v>0</v>
      </c>
      <c r="H83" s="2">
        <v>0</v>
      </c>
      <c r="I83" s="3">
        <f t="shared" si="11"/>
        <v>0</v>
      </c>
      <c r="J83" s="13">
        <f t="shared" si="12"/>
        <v>0</v>
      </c>
      <c r="K83" s="9">
        <f t="shared" si="13"/>
        <v>0</v>
      </c>
      <c r="L83" s="3">
        <f t="shared" si="14"/>
        <v>0</v>
      </c>
    </row>
    <row r="84" spans="1:12" x14ac:dyDescent="0.35">
      <c r="A84" s="1" t="s">
        <v>101</v>
      </c>
      <c r="B84" s="2">
        <v>595194.92000000027</v>
      </c>
      <c r="C84" s="2"/>
      <c r="D84" s="6">
        <f t="shared" si="8"/>
        <v>0</v>
      </c>
      <c r="E84" s="2">
        <v>0</v>
      </c>
      <c r="F84" s="3">
        <f t="shared" si="9"/>
        <v>0.05</v>
      </c>
      <c r="G84" s="13">
        <f t="shared" si="10"/>
        <v>0</v>
      </c>
      <c r="H84" s="2">
        <v>0</v>
      </c>
      <c r="I84" s="3">
        <f t="shared" si="11"/>
        <v>0</v>
      </c>
      <c r="J84" s="13">
        <f t="shared" si="12"/>
        <v>0</v>
      </c>
      <c r="K84" s="9">
        <f t="shared" si="13"/>
        <v>0</v>
      </c>
      <c r="L84" s="3">
        <f t="shared" si="14"/>
        <v>0</v>
      </c>
    </row>
    <row r="85" spans="1:12" x14ac:dyDescent="0.35">
      <c r="A85" s="1" t="s">
        <v>102</v>
      </c>
      <c r="B85" s="2">
        <v>1194173.31</v>
      </c>
      <c r="C85" s="2"/>
      <c r="D85" s="6">
        <f t="shared" si="8"/>
        <v>0</v>
      </c>
      <c r="E85" s="2"/>
      <c r="F85" s="3">
        <f t="shared" si="9"/>
        <v>0.05</v>
      </c>
      <c r="G85" s="13">
        <f t="shared" si="10"/>
        <v>0</v>
      </c>
      <c r="H85" s="2">
        <v>0</v>
      </c>
      <c r="I85" s="3">
        <f t="shared" si="11"/>
        <v>0</v>
      </c>
      <c r="J85" s="13">
        <f t="shared" si="12"/>
        <v>0</v>
      </c>
      <c r="K85" s="9">
        <f t="shared" si="13"/>
        <v>0</v>
      </c>
      <c r="L85" s="3">
        <f t="shared" si="14"/>
        <v>0</v>
      </c>
    </row>
    <row r="86" spans="1:12" x14ac:dyDescent="0.35">
      <c r="A86" s="1" t="s">
        <v>103</v>
      </c>
      <c r="B86" s="2">
        <v>36573512.020000048</v>
      </c>
      <c r="C86" s="2"/>
      <c r="D86" s="6">
        <f t="shared" si="8"/>
        <v>0</v>
      </c>
      <c r="E86" s="2">
        <v>0</v>
      </c>
      <c r="F86" s="3">
        <f t="shared" si="9"/>
        <v>0.05</v>
      </c>
      <c r="G86" s="13">
        <f t="shared" si="10"/>
        <v>0</v>
      </c>
      <c r="H86" s="2">
        <v>0</v>
      </c>
      <c r="I86" s="3">
        <f t="shared" si="11"/>
        <v>0</v>
      </c>
      <c r="J86" s="13">
        <f t="shared" si="12"/>
        <v>0</v>
      </c>
      <c r="K86" s="9">
        <f t="shared" si="13"/>
        <v>0</v>
      </c>
      <c r="L86" s="3">
        <f t="shared" si="14"/>
        <v>0</v>
      </c>
    </row>
    <row r="87" spans="1:12" x14ac:dyDescent="0.35">
      <c r="A87" s="1" t="s">
        <v>104</v>
      </c>
      <c r="B87" s="2">
        <v>34558435.19000002</v>
      </c>
      <c r="C87" s="2"/>
      <c r="D87" s="6">
        <f t="shared" si="8"/>
        <v>0</v>
      </c>
      <c r="E87" s="2">
        <v>0</v>
      </c>
      <c r="F87" s="3">
        <f t="shared" si="9"/>
        <v>0.05</v>
      </c>
      <c r="G87" s="13">
        <f t="shared" si="10"/>
        <v>0</v>
      </c>
      <c r="H87" s="2"/>
      <c r="I87" s="3">
        <f t="shared" si="11"/>
        <v>0</v>
      </c>
      <c r="J87" s="13">
        <f t="shared" si="12"/>
        <v>0</v>
      </c>
      <c r="K87" s="9">
        <f t="shared" si="13"/>
        <v>0</v>
      </c>
      <c r="L87" s="3">
        <f t="shared" si="14"/>
        <v>0</v>
      </c>
    </row>
    <row r="88" spans="1:12" x14ac:dyDescent="0.35">
      <c r="A88" s="1" t="s">
        <v>105</v>
      </c>
      <c r="B88" s="2">
        <v>36874944.629999943</v>
      </c>
      <c r="C88" s="2"/>
      <c r="D88" s="6">
        <f t="shared" si="8"/>
        <v>0</v>
      </c>
      <c r="E88" s="2">
        <v>0</v>
      </c>
      <c r="F88" s="3">
        <f t="shared" si="9"/>
        <v>0.05</v>
      </c>
      <c r="G88" s="13">
        <f t="shared" si="10"/>
        <v>0</v>
      </c>
      <c r="H88" s="2">
        <v>0</v>
      </c>
      <c r="I88" s="3">
        <f t="shared" si="11"/>
        <v>0</v>
      </c>
      <c r="J88" s="13">
        <f t="shared" si="12"/>
        <v>0</v>
      </c>
      <c r="K88" s="9">
        <f t="shared" si="13"/>
        <v>0</v>
      </c>
      <c r="L88" s="3">
        <f t="shared" si="14"/>
        <v>0</v>
      </c>
    </row>
    <row r="89" spans="1:12" x14ac:dyDescent="0.35">
      <c r="A89" s="1" t="s">
        <v>106</v>
      </c>
      <c r="B89" s="2">
        <v>1097605158.5299995</v>
      </c>
      <c r="C89" s="2"/>
      <c r="D89" s="6">
        <f t="shared" si="8"/>
        <v>0</v>
      </c>
      <c r="E89" s="2">
        <v>0</v>
      </c>
      <c r="F89" s="3">
        <f t="shared" si="9"/>
        <v>0.05</v>
      </c>
      <c r="G89" s="13">
        <f t="shared" si="10"/>
        <v>0</v>
      </c>
      <c r="H89" s="2"/>
      <c r="I89" s="3">
        <f t="shared" si="11"/>
        <v>0</v>
      </c>
      <c r="J89" s="13">
        <f t="shared" si="12"/>
        <v>0</v>
      </c>
      <c r="K89" s="9">
        <f t="shared" si="13"/>
        <v>0</v>
      </c>
      <c r="L89" s="3">
        <f t="shared" si="14"/>
        <v>0</v>
      </c>
    </row>
    <row r="90" spans="1:12" x14ac:dyDescent="0.35">
      <c r="A90" s="1" t="s">
        <v>107</v>
      </c>
      <c r="B90" s="2">
        <v>138059872.78000006</v>
      </c>
      <c r="C90" s="2"/>
      <c r="D90" s="6">
        <f t="shared" si="8"/>
        <v>0</v>
      </c>
      <c r="E90" s="2">
        <v>0</v>
      </c>
      <c r="F90" s="3">
        <f t="shared" si="9"/>
        <v>0.05</v>
      </c>
      <c r="G90" s="13">
        <f t="shared" si="10"/>
        <v>0</v>
      </c>
      <c r="H90" s="2"/>
      <c r="I90" s="3">
        <f t="shared" si="11"/>
        <v>0</v>
      </c>
      <c r="J90" s="13">
        <f t="shared" si="12"/>
        <v>0</v>
      </c>
      <c r="K90" s="9">
        <f t="shared" si="13"/>
        <v>0</v>
      </c>
      <c r="L90" s="3">
        <f t="shared" si="14"/>
        <v>0</v>
      </c>
    </row>
    <row r="91" spans="1:12" x14ac:dyDescent="0.35">
      <c r="A91" s="1" t="s">
        <v>108</v>
      </c>
      <c r="B91" s="2">
        <v>4003813.81</v>
      </c>
      <c r="C91" s="2"/>
      <c r="D91" s="6">
        <f t="shared" si="8"/>
        <v>0</v>
      </c>
      <c r="E91" s="2">
        <v>9418.4599999999991</v>
      </c>
      <c r="F91" s="3">
        <f t="shared" si="9"/>
        <v>0.05</v>
      </c>
      <c r="G91" s="13">
        <f t="shared" si="10"/>
        <v>470.923</v>
      </c>
      <c r="H91" s="2">
        <v>0</v>
      </c>
      <c r="I91" s="3">
        <f t="shared" si="11"/>
        <v>0</v>
      </c>
      <c r="J91" s="13">
        <f t="shared" si="12"/>
        <v>0</v>
      </c>
      <c r="K91" s="9">
        <f t="shared" si="13"/>
        <v>470.923</v>
      </c>
      <c r="L91" s="3">
        <f t="shared" si="14"/>
        <v>1.0585799070817828E-4</v>
      </c>
    </row>
    <row r="92" spans="1:12" x14ac:dyDescent="0.35">
      <c r="A92" s="1" t="s">
        <v>109</v>
      </c>
      <c r="B92" s="2">
        <v>8247233.8499999968</v>
      </c>
      <c r="C92" s="2"/>
      <c r="D92" s="6">
        <f t="shared" si="8"/>
        <v>0</v>
      </c>
      <c r="E92" s="2">
        <v>0</v>
      </c>
      <c r="F92" s="3">
        <f t="shared" si="9"/>
        <v>0.05</v>
      </c>
      <c r="G92" s="13">
        <f t="shared" si="10"/>
        <v>0</v>
      </c>
      <c r="H92" s="2"/>
      <c r="I92" s="3">
        <f t="shared" si="11"/>
        <v>0</v>
      </c>
      <c r="J92" s="13">
        <f t="shared" si="12"/>
        <v>0</v>
      </c>
      <c r="K92" s="9">
        <f t="shared" si="13"/>
        <v>0</v>
      </c>
      <c r="L92" s="3">
        <f t="shared" si="14"/>
        <v>0</v>
      </c>
    </row>
    <row r="93" spans="1:12" x14ac:dyDescent="0.35">
      <c r="A93" s="1" t="s">
        <v>110</v>
      </c>
      <c r="B93" s="2">
        <v>88021623.409999922</v>
      </c>
      <c r="C93" s="2"/>
      <c r="D93" s="6">
        <f t="shared" si="8"/>
        <v>0</v>
      </c>
      <c r="E93" s="2">
        <v>0</v>
      </c>
      <c r="F93" s="3">
        <f t="shared" si="9"/>
        <v>0.05</v>
      </c>
      <c r="G93" s="13">
        <f t="shared" si="10"/>
        <v>0</v>
      </c>
      <c r="H93" s="2"/>
      <c r="I93" s="3">
        <f t="shared" si="11"/>
        <v>0</v>
      </c>
      <c r="J93" s="13">
        <f t="shared" si="12"/>
        <v>0</v>
      </c>
      <c r="K93" s="9">
        <f t="shared" si="13"/>
        <v>0</v>
      </c>
      <c r="L93" s="3">
        <f t="shared" si="14"/>
        <v>0</v>
      </c>
    </row>
    <row r="94" spans="1:12" x14ac:dyDescent="0.35">
      <c r="A94" s="1" t="s">
        <v>111</v>
      </c>
      <c r="B94" s="2">
        <v>8389213.2600000054</v>
      </c>
      <c r="C94" s="2"/>
      <c r="D94" s="6">
        <f t="shared" si="8"/>
        <v>0</v>
      </c>
      <c r="E94" s="2">
        <v>0</v>
      </c>
      <c r="F94" s="3">
        <f t="shared" si="9"/>
        <v>0.05</v>
      </c>
      <c r="G94" s="13">
        <f t="shared" si="10"/>
        <v>0</v>
      </c>
      <c r="H94" s="2">
        <v>0</v>
      </c>
      <c r="I94" s="3">
        <f t="shared" si="11"/>
        <v>0</v>
      </c>
      <c r="J94" s="13">
        <f t="shared" si="12"/>
        <v>0</v>
      </c>
      <c r="K94" s="9">
        <f t="shared" si="13"/>
        <v>0</v>
      </c>
      <c r="L94" s="3">
        <f t="shared" si="14"/>
        <v>0</v>
      </c>
    </row>
    <row r="95" spans="1:12" x14ac:dyDescent="0.35">
      <c r="A95" s="1" t="s">
        <v>112</v>
      </c>
      <c r="B95" s="2">
        <v>12812639.250000004</v>
      </c>
      <c r="C95" s="2"/>
      <c r="D95" s="6">
        <f t="shared" si="8"/>
        <v>0</v>
      </c>
      <c r="E95" s="2">
        <v>0</v>
      </c>
      <c r="F95" s="3">
        <f t="shared" si="9"/>
        <v>0.05</v>
      </c>
      <c r="G95" s="13">
        <f t="shared" si="10"/>
        <v>0</v>
      </c>
      <c r="H95" s="2"/>
      <c r="I95" s="3">
        <f t="shared" si="11"/>
        <v>0</v>
      </c>
      <c r="J95" s="13">
        <f t="shared" si="12"/>
        <v>0</v>
      </c>
      <c r="K95" s="9">
        <f t="shared" si="13"/>
        <v>0</v>
      </c>
      <c r="L95" s="3">
        <f t="shared" si="14"/>
        <v>0</v>
      </c>
    </row>
    <row r="96" spans="1:12" x14ac:dyDescent="0.35">
      <c r="A96" s="1" t="s">
        <v>113</v>
      </c>
      <c r="B96" s="2">
        <v>3297206.67</v>
      </c>
      <c r="C96" s="2"/>
      <c r="D96" s="6">
        <f t="shared" si="8"/>
        <v>0</v>
      </c>
      <c r="E96" s="2">
        <v>0</v>
      </c>
      <c r="F96" s="3">
        <f t="shared" si="9"/>
        <v>0.05</v>
      </c>
      <c r="G96" s="13">
        <f t="shared" si="10"/>
        <v>0</v>
      </c>
      <c r="H96" s="2"/>
      <c r="I96" s="3">
        <f t="shared" si="11"/>
        <v>0</v>
      </c>
      <c r="J96" s="13">
        <f t="shared" si="12"/>
        <v>0</v>
      </c>
      <c r="K96" s="9">
        <f t="shared" si="13"/>
        <v>0</v>
      </c>
      <c r="L96" s="3">
        <f t="shared" si="14"/>
        <v>0</v>
      </c>
    </row>
    <row r="97" spans="1:12" x14ac:dyDescent="0.35">
      <c r="A97" s="1" t="s">
        <v>114</v>
      </c>
      <c r="B97" s="2">
        <v>182688150.17000005</v>
      </c>
      <c r="C97" s="2"/>
      <c r="D97" s="6">
        <f t="shared" si="8"/>
        <v>0</v>
      </c>
      <c r="E97" s="2">
        <v>0</v>
      </c>
      <c r="F97" s="3">
        <f t="shared" si="9"/>
        <v>0.05</v>
      </c>
      <c r="G97" s="13">
        <f t="shared" si="10"/>
        <v>0</v>
      </c>
      <c r="H97" s="2">
        <v>0</v>
      </c>
      <c r="I97" s="3">
        <f t="shared" si="11"/>
        <v>0</v>
      </c>
      <c r="J97" s="13">
        <f t="shared" si="12"/>
        <v>0</v>
      </c>
      <c r="K97" s="9">
        <f t="shared" si="13"/>
        <v>0</v>
      </c>
      <c r="L97" s="3">
        <f t="shared" si="14"/>
        <v>0</v>
      </c>
    </row>
    <row r="98" spans="1:12" x14ac:dyDescent="0.35">
      <c r="A98" s="1" t="s">
        <v>115</v>
      </c>
      <c r="B98" s="2">
        <v>36136599.819999993</v>
      </c>
      <c r="C98" s="2"/>
      <c r="D98" s="6">
        <f t="shared" si="8"/>
        <v>0</v>
      </c>
      <c r="E98" s="2">
        <v>0</v>
      </c>
      <c r="F98" s="3">
        <f t="shared" si="9"/>
        <v>0.05</v>
      </c>
      <c r="G98" s="13">
        <f t="shared" si="10"/>
        <v>0</v>
      </c>
      <c r="H98" s="2"/>
      <c r="I98" s="3">
        <f t="shared" si="11"/>
        <v>0</v>
      </c>
      <c r="J98" s="13">
        <f t="shared" si="12"/>
        <v>0</v>
      </c>
      <c r="K98" s="9">
        <f t="shared" si="13"/>
        <v>0</v>
      </c>
      <c r="L98" s="3">
        <f t="shared" si="14"/>
        <v>0</v>
      </c>
    </row>
    <row r="99" spans="1:12" x14ac:dyDescent="0.35">
      <c r="A99" s="1" t="s">
        <v>116</v>
      </c>
      <c r="B99" s="2">
        <v>2720457.9699999997</v>
      </c>
      <c r="C99" s="2"/>
      <c r="D99" s="6">
        <f t="shared" si="8"/>
        <v>0</v>
      </c>
      <c r="E99" s="2">
        <v>0</v>
      </c>
      <c r="F99" s="3">
        <f t="shared" si="9"/>
        <v>0.05</v>
      </c>
      <c r="G99" s="13">
        <f t="shared" si="10"/>
        <v>0</v>
      </c>
      <c r="H99" s="2"/>
      <c r="I99" s="3">
        <f t="shared" si="11"/>
        <v>0</v>
      </c>
      <c r="J99" s="13">
        <f t="shared" si="12"/>
        <v>0</v>
      </c>
      <c r="K99" s="9">
        <f t="shared" si="13"/>
        <v>0</v>
      </c>
      <c r="L99" s="3">
        <f t="shared" si="14"/>
        <v>0</v>
      </c>
    </row>
    <row r="100" spans="1:12" x14ac:dyDescent="0.35">
      <c r="A100" s="1" t="s">
        <v>117</v>
      </c>
      <c r="B100" s="2">
        <v>904456821.80999982</v>
      </c>
      <c r="C100" s="2"/>
      <c r="D100" s="6">
        <f t="shared" ref="D100:D107" si="15">C100/B100</f>
        <v>0</v>
      </c>
      <c r="E100" s="2">
        <v>0</v>
      </c>
      <c r="F100" s="3">
        <f t="shared" si="9"/>
        <v>0.05</v>
      </c>
      <c r="G100" s="13">
        <f t="shared" si="10"/>
        <v>0</v>
      </c>
      <c r="H100" s="2">
        <v>0</v>
      </c>
      <c r="I100" s="3">
        <f t="shared" si="11"/>
        <v>0</v>
      </c>
      <c r="J100" s="13">
        <f t="shared" si="12"/>
        <v>0</v>
      </c>
      <c r="K100" s="9">
        <f t="shared" si="13"/>
        <v>0</v>
      </c>
      <c r="L100" s="3">
        <f t="shared" si="14"/>
        <v>0</v>
      </c>
    </row>
    <row r="101" spans="1:12" x14ac:dyDescent="0.35">
      <c r="A101" s="1" t="s">
        <v>118</v>
      </c>
      <c r="B101" s="2">
        <v>14074816.869999995</v>
      </c>
      <c r="C101" s="2"/>
      <c r="D101" s="6">
        <f t="shared" si="15"/>
        <v>0</v>
      </c>
      <c r="E101" s="2">
        <v>0</v>
      </c>
      <c r="F101" s="3">
        <f t="shared" si="9"/>
        <v>0.05</v>
      </c>
      <c r="G101" s="13">
        <f t="shared" si="10"/>
        <v>0</v>
      </c>
      <c r="H101" s="2"/>
      <c r="I101" s="3">
        <f t="shared" si="11"/>
        <v>0</v>
      </c>
      <c r="J101" s="13">
        <f t="shared" si="12"/>
        <v>0</v>
      </c>
      <c r="K101" s="9">
        <f t="shared" si="13"/>
        <v>0</v>
      </c>
      <c r="L101" s="3">
        <f t="shared" si="14"/>
        <v>0</v>
      </c>
    </row>
    <row r="102" spans="1:12" x14ac:dyDescent="0.35">
      <c r="A102" s="1" t="s">
        <v>119</v>
      </c>
      <c r="B102" s="2">
        <v>26214435.900000002</v>
      </c>
      <c r="C102" s="2"/>
      <c r="D102" s="6">
        <f t="shared" si="15"/>
        <v>0</v>
      </c>
      <c r="E102" s="2"/>
      <c r="F102" s="3">
        <f t="shared" si="9"/>
        <v>0.05</v>
      </c>
      <c r="G102" s="13">
        <f t="shared" si="10"/>
        <v>0</v>
      </c>
      <c r="H102" s="2">
        <v>0</v>
      </c>
      <c r="I102" s="3">
        <f t="shared" si="11"/>
        <v>0</v>
      </c>
      <c r="J102" s="13">
        <f t="shared" si="12"/>
        <v>0</v>
      </c>
      <c r="K102" s="9">
        <f t="shared" si="13"/>
        <v>0</v>
      </c>
      <c r="L102" s="3">
        <f t="shared" si="14"/>
        <v>0</v>
      </c>
    </row>
    <row r="103" spans="1:12" x14ac:dyDescent="0.35">
      <c r="A103" s="1" t="s">
        <v>120</v>
      </c>
      <c r="B103" s="2">
        <v>3400731.66</v>
      </c>
      <c r="C103" s="2"/>
      <c r="D103" s="6">
        <f t="shared" si="15"/>
        <v>0</v>
      </c>
      <c r="E103" s="2">
        <v>0</v>
      </c>
      <c r="F103" s="3">
        <f t="shared" si="9"/>
        <v>0.05</v>
      </c>
      <c r="G103" s="13">
        <f t="shared" si="10"/>
        <v>0</v>
      </c>
      <c r="H103" s="2">
        <v>0</v>
      </c>
      <c r="I103" s="3">
        <f t="shared" si="11"/>
        <v>0</v>
      </c>
      <c r="J103" s="13">
        <f t="shared" si="12"/>
        <v>0</v>
      </c>
      <c r="K103" s="9">
        <f t="shared" si="13"/>
        <v>0</v>
      </c>
      <c r="L103" s="3">
        <f t="shared" si="14"/>
        <v>0</v>
      </c>
    </row>
    <row r="104" spans="1:12" x14ac:dyDescent="0.35">
      <c r="A104" s="1" t="s">
        <v>121</v>
      </c>
      <c r="B104" s="2">
        <v>15943499.900000002</v>
      </c>
      <c r="C104" s="2"/>
      <c r="D104" s="6">
        <f t="shared" si="15"/>
        <v>0</v>
      </c>
      <c r="E104" s="2">
        <v>0</v>
      </c>
      <c r="F104" s="3">
        <f t="shared" si="9"/>
        <v>0.05</v>
      </c>
      <c r="G104" s="13">
        <f t="shared" si="10"/>
        <v>0</v>
      </c>
      <c r="H104" s="2">
        <v>0</v>
      </c>
      <c r="I104" s="3">
        <f t="shared" si="11"/>
        <v>0</v>
      </c>
      <c r="J104" s="13">
        <f t="shared" si="12"/>
        <v>0</v>
      </c>
      <c r="K104" s="9">
        <f t="shared" si="13"/>
        <v>0</v>
      </c>
      <c r="L104" s="3">
        <f t="shared" si="14"/>
        <v>0</v>
      </c>
    </row>
    <row r="105" spans="1:12" x14ac:dyDescent="0.35">
      <c r="A105" s="1" t="s">
        <v>122</v>
      </c>
      <c r="B105" s="2">
        <v>204.59</v>
      </c>
      <c r="C105" s="2"/>
      <c r="D105" s="6">
        <f t="shared" si="15"/>
        <v>0</v>
      </c>
      <c r="E105" s="2">
        <v>0</v>
      </c>
      <c r="F105" s="3">
        <f t="shared" si="9"/>
        <v>0.05</v>
      </c>
      <c r="G105" s="13">
        <f t="shared" si="10"/>
        <v>0</v>
      </c>
      <c r="H105" s="2"/>
      <c r="I105" s="3">
        <f t="shared" si="11"/>
        <v>0</v>
      </c>
      <c r="J105" s="13">
        <f t="shared" si="12"/>
        <v>0</v>
      </c>
      <c r="K105" s="9">
        <f t="shared" si="13"/>
        <v>0</v>
      </c>
      <c r="L105" s="3">
        <f t="shared" si="14"/>
        <v>0</v>
      </c>
    </row>
    <row r="106" spans="1:12" x14ac:dyDescent="0.35">
      <c r="A106" s="1" t="s">
        <v>123</v>
      </c>
      <c r="B106" s="2">
        <v>4670507.0400000066</v>
      </c>
      <c r="C106" s="2"/>
      <c r="D106" s="6">
        <f t="shared" si="15"/>
        <v>0</v>
      </c>
      <c r="E106" s="2">
        <v>11974.74</v>
      </c>
      <c r="F106" s="3">
        <f t="shared" si="9"/>
        <v>0.05</v>
      </c>
      <c r="G106" s="13">
        <f t="shared" si="10"/>
        <v>598.73699999999997</v>
      </c>
      <c r="H106" s="2">
        <v>2742.2</v>
      </c>
      <c r="I106" s="3">
        <f t="shared" si="11"/>
        <v>0</v>
      </c>
      <c r="J106" s="13">
        <f t="shared" si="12"/>
        <v>0</v>
      </c>
      <c r="K106" s="9">
        <f t="shared" si="13"/>
        <v>598.73699999999997</v>
      </c>
      <c r="L106" s="3">
        <f t="shared" si="14"/>
        <v>1.1537723922630198E-4</v>
      </c>
    </row>
    <row r="107" spans="1:12" x14ac:dyDescent="0.35">
      <c r="A107" s="1" t="s">
        <v>124</v>
      </c>
      <c r="B107" s="2">
        <v>15061487.639999989</v>
      </c>
      <c r="C107" s="2">
        <v>-11730.9</v>
      </c>
      <c r="D107" s="6">
        <f t="shared" si="15"/>
        <v>-7.7886728591439506E-4</v>
      </c>
      <c r="E107" s="2">
        <v>0</v>
      </c>
      <c r="F107" s="3">
        <f t="shared" si="9"/>
        <v>0.05</v>
      </c>
      <c r="G107" s="13">
        <f t="shared" si="10"/>
        <v>0</v>
      </c>
      <c r="H107" s="2">
        <v>0</v>
      </c>
      <c r="I107" s="3">
        <f t="shared" si="11"/>
        <v>0</v>
      </c>
      <c r="J107" s="13">
        <f t="shared" si="12"/>
        <v>0</v>
      </c>
      <c r="K107" s="9">
        <f t="shared" si="13"/>
        <v>0</v>
      </c>
      <c r="L107" s="3">
        <f t="shared" si="14"/>
        <v>-7.7886728591439506E-4</v>
      </c>
    </row>
  </sheetData>
  <autoFilter ref="A3:L60" xr:uid="{284273A1-3284-4D4E-84D6-74387163792A}">
    <sortState xmlns:xlrd2="http://schemas.microsoft.com/office/spreadsheetml/2017/richdata2" ref="A4:L107">
      <sortCondition descending="1" ref="D3:D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1962-FF49-481E-B834-6720EB4BC49B}">
  <sheetPr>
    <tabColor theme="7" tint="0.79998168889431442"/>
  </sheetPr>
  <dimension ref="A1:D66"/>
  <sheetViews>
    <sheetView workbookViewId="0">
      <pane ySplit="1" topLeftCell="A6" activePane="bottomLeft" state="frozen"/>
      <selection pane="bottomLeft" activeCell="C6" sqref="C6"/>
    </sheetView>
  </sheetViews>
  <sheetFormatPr defaultRowHeight="13.25" customHeight="1" x14ac:dyDescent="0.35"/>
  <cols>
    <col min="1" max="1" width="32.54296875" bestFit="1" customWidth="1"/>
    <col min="2" max="2" width="14.54296875" bestFit="1" customWidth="1"/>
    <col min="3" max="3" width="69.54296875" bestFit="1" customWidth="1"/>
  </cols>
  <sheetData>
    <row r="1" spans="1:4" ht="13.25" customHeight="1" x14ac:dyDescent="0.35">
      <c r="A1" s="24" t="s">
        <v>125</v>
      </c>
      <c r="B1" s="24" t="s">
        <v>126</v>
      </c>
      <c r="C1" s="24" t="s">
        <v>127</v>
      </c>
      <c r="D1" s="24" t="s">
        <v>128</v>
      </c>
    </row>
    <row r="2" spans="1:4" ht="13.25" customHeight="1" x14ac:dyDescent="0.35">
      <c r="A2" s="23" t="s">
        <v>129</v>
      </c>
      <c r="B2" s="23" t="s">
        <v>130</v>
      </c>
      <c r="C2" s="23"/>
      <c r="D2" s="23">
        <v>1.5</v>
      </c>
    </row>
    <row r="3" spans="1:4" ht="13.25" customHeight="1" x14ac:dyDescent="0.35">
      <c r="A3" s="1" t="s">
        <v>131</v>
      </c>
      <c r="B3" t="s">
        <v>132</v>
      </c>
      <c r="C3" t="s">
        <v>133</v>
      </c>
      <c r="D3">
        <v>1</v>
      </c>
    </row>
    <row r="4" spans="1:4" ht="13.25" customHeight="1" x14ac:dyDescent="0.35">
      <c r="A4" s="1" t="s">
        <v>134</v>
      </c>
      <c r="B4" t="s">
        <v>132</v>
      </c>
      <c r="C4" t="s">
        <v>133</v>
      </c>
      <c r="D4">
        <v>1</v>
      </c>
    </row>
    <row r="5" spans="1:4" ht="13.25" customHeight="1" x14ac:dyDescent="0.35">
      <c r="A5" s="1" t="s">
        <v>135</v>
      </c>
      <c r="B5" t="s">
        <v>132</v>
      </c>
      <c r="C5" t="s">
        <v>133</v>
      </c>
      <c r="D5">
        <v>1</v>
      </c>
    </row>
    <row r="6" spans="1:4" ht="13.25" customHeight="1" x14ac:dyDescent="0.35">
      <c r="A6" s="1" t="s">
        <v>136</v>
      </c>
      <c r="B6" t="s">
        <v>132</v>
      </c>
      <c r="C6" t="s">
        <v>133</v>
      </c>
      <c r="D6">
        <v>1</v>
      </c>
    </row>
    <row r="7" spans="1:4" ht="13.25" customHeight="1" x14ac:dyDescent="0.35">
      <c r="A7" s="1" t="s">
        <v>137</v>
      </c>
      <c r="B7" t="s">
        <v>132</v>
      </c>
      <c r="C7" t="s">
        <v>133</v>
      </c>
      <c r="D7">
        <v>1</v>
      </c>
    </row>
    <row r="8" spans="1:4" ht="13.25" customHeight="1" x14ac:dyDescent="0.35">
      <c r="A8" s="1" t="s">
        <v>138</v>
      </c>
      <c r="B8" t="s">
        <v>132</v>
      </c>
      <c r="C8" t="s">
        <v>133</v>
      </c>
      <c r="D8">
        <v>1</v>
      </c>
    </row>
    <row r="9" spans="1:4" ht="13.25" customHeight="1" x14ac:dyDescent="0.35">
      <c r="A9" s="1" t="s">
        <v>139</v>
      </c>
      <c r="B9" t="s">
        <v>132</v>
      </c>
      <c r="C9" t="s">
        <v>133</v>
      </c>
      <c r="D9">
        <v>1</v>
      </c>
    </row>
    <row r="10" spans="1:4" ht="13.25" customHeight="1" x14ac:dyDescent="0.35">
      <c r="A10" s="1" t="s">
        <v>140</v>
      </c>
      <c r="B10" t="s">
        <v>132</v>
      </c>
      <c r="C10" t="s">
        <v>133</v>
      </c>
      <c r="D10">
        <v>1</v>
      </c>
    </row>
    <row r="11" spans="1:4" ht="13.25" customHeight="1" x14ac:dyDescent="0.35">
      <c r="A11" s="1" t="s">
        <v>141</v>
      </c>
      <c r="B11" t="s">
        <v>132</v>
      </c>
      <c r="C11" t="s">
        <v>133</v>
      </c>
      <c r="D11">
        <v>1</v>
      </c>
    </row>
    <row r="12" spans="1:4" ht="13.25" customHeight="1" x14ac:dyDescent="0.35">
      <c r="A12" s="1" t="s">
        <v>142</v>
      </c>
      <c r="B12" t="s">
        <v>132</v>
      </c>
      <c r="C12" t="s">
        <v>133</v>
      </c>
      <c r="D12">
        <v>1</v>
      </c>
    </row>
    <row r="13" spans="1:4" ht="13.25" customHeight="1" x14ac:dyDescent="0.35">
      <c r="A13" s="1" t="s">
        <v>143</v>
      </c>
      <c r="B13" t="s">
        <v>132</v>
      </c>
      <c r="C13" t="s">
        <v>133</v>
      </c>
      <c r="D13">
        <v>1</v>
      </c>
    </row>
    <row r="14" spans="1:4" ht="13.25" customHeight="1" x14ac:dyDescent="0.35">
      <c r="A14" s="1" t="s">
        <v>144</v>
      </c>
      <c r="B14" t="s">
        <v>132</v>
      </c>
      <c r="C14" t="s">
        <v>133</v>
      </c>
      <c r="D14">
        <v>1</v>
      </c>
    </row>
    <row r="15" spans="1:4" ht="13.25" customHeight="1" x14ac:dyDescent="0.35">
      <c r="A15" s="1" t="s">
        <v>145</v>
      </c>
      <c r="B15" t="s">
        <v>132</v>
      </c>
      <c r="C15" t="s">
        <v>133</v>
      </c>
      <c r="D15">
        <v>1</v>
      </c>
    </row>
    <row r="16" spans="1:4" ht="13.25" customHeight="1" x14ac:dyDescent="0.35">
      <c r="A16" s="1" t="s">
        <v>146</v>
      </c>
      <c r="B16" t="s">
        <v>132</v>
      </c>
      <c r="C16" t="s">
        <v>133</v>
      </c>
      <c r="D16">
        <v>1</v>
      </c>
    </row>
    <row r="17" spans="1:4" ht="13.25" customHeight="1" x14ac:dyDescent="0.35">
      <c r="A17" s="1" t="s">
        <v>147</v>
      </c>
      <c r="B17" t="s">
        <v>132</v>
      </c>
      <c r="C17" t="s">
        <v>133</v>
      </c>
      <c r="D17">
        <v>1</v>
      </c>
    </row>
    <row r="18" spans="1:4" ht="13.25" customHeight="1" x14ac:dyDescent="0.35">
      <c r="A18" s="1" t="s">
        <v>148</v>
      </c>
      <c r="B18" t="s">
        <v>132</v>
      </c>
      <c r="C18" t="s">
        <v>133</v>
      </c>
      <c r="D18">
        <v>1</v>
      </c>
    </row>
    <row r="19" spans="1:4" ht="13.25" customHeight="1" x14ac:dyDescent="0.35">
      <c r="A19" s="1" t="s">
        <v>149</v>
      </c>
      <c r="B19" t="s">
        <v>132</v>
      </c>
      <c r="C19" t="s">
        <v>133</v>
      </c>
      <c r="D19">
        <v>1</v>
      </c>
    </row>
    <row r="20" spans="1:4" ht="13.25" customHeight="1" x14ac:dyDescent="0.35">
      <c r="A20" s="1" t="s">
        <v>150</v>
      </c>
      <c r="B20" t="s">
        <v>132</v>
      </c>
      <c r="C20" t="s">
        <v>133</v>
      </c>
      <c r="D20">
        <v>1</v>
      </c>
    </row>
    <row r="21" spans="1:4" ht="13.25" customHeight="1" x14ac:dyDescent="0.35">
      <c r="A21" s="1" t="s">
        <v>151</v>
      </c>
      <c r="B21" t="s">
        <v>132</v>
      </c>
      <c r="C21" t="s">
        <v>133</v>
      </c>
      <c r="D21">
        <v>1</v>
      </c>
    </row>
    <row r="22" spans="1:4" ht="13.25" customHeight="1" x14ac:dyDescent="0.35">
      <c r="A22" s="1" t="s">
        <v>152</v>
      </c>
      <c r="B22" t="s">
        <v>132</v>
      </c>
      <c r="C22" t="s">
        <v>133</v>
      </c>
      <c r="D22">
        <v>1</v>
      </c>
    </row>
    <row r="23" spans="1:4" ht="13.25" customHeight="1" x14ac:dyDescent="0.35">
      <c r="A23" s="1" t="s">
        <v>153</v>
      </c>
      <c r="B23" t="s">
        <v>132</v>
      </c>
      <c r="C23" t="s">
        <v>133</v>
      </c>
      <c r="D23">
        <v>1</v>
      </c>
    </row>
    <row r="24" spans="1:4" ht="13.25" customHeight="1" x14ac:dyDescent="0.35">
      <c r="A24" s="1" t="s">
        <v>154</v>
      </c>
      <c r="B24" t="s">
        <v>132</v>
      </c>
      <c r="C24" t="s">
        <v>133</v>
      </c>
      <c r="D24">
        <v>1</v>
      </c>
    </row>
    <row r="25" spans="1:4" ht="13.25" customHeight="1" x14ac:dyDescent="0.35">
      <c r="A25" s="1" t="s">
        <v>155</v>
      </c>
      <c r="B25" t="s">
        <v>132</v>
      </c>
      <c r="C25" t="s">
        <v>133</v>
      </c>
      <c r="D25">
        <v>1</v>
      </c>
    </row>
    <row r="26" spans="1:4" ht="13.25" customHeight="1" x14ac:dyDescent="0.35">
      <c r="A26" s="1" t="s">
        <v>156</v>
      </c>
      <c r="B26" t="s">
        <v>132</v>
      </c>
      <c r="C26" t="s">
        <v>133</v>
      </c>
      <c r="D26">
        <v>1</v>
      </c>
    </row>
    <row r="27" spans="1:4" ht="13.25" customHeight="1" x14ac:dyDescent="0.35">
      <c r="A27" s="1" t="s">
        <v>157</v>
      </c>
      <c r="B27" t="s">
        <v>132</v>
      </c>
      <c r="C27" t="s">
        <v>133</v>
      </c>
      <c r="D27">
        <v>1</v>
      </c>
    </row>
    <row r="28" spans="1:4" ht="13.25" customHeight="1" x14ac:dyDescent="0.35">
      <c r="A28" s="1" t="s">
        <v>158</v>
      </c>
      <c r="B28" t="s">
        <v>132</v>
      </c>
      <c r="C28" t="s">
        <v>133</v>
      </c>
      <c r="D28">
        <v>1</v>
      </c>
    </row>
    <row r="29" spans="1:4" ht="13.25" customHeight="1" x14ac:dyDescent="0.35">
      <c r="A29" s="1" t="s">
        <v>159</v>
      </c>
      <c r="B29" t="s">
        <v>132</v>
      </c>
      <c r="C29" t="s">
        <v>133</v>
      </c>
      <c r="D29">
        <v>1</v>
      </c>
    </row>
    <row r="30" spans="1:4" ht="13.25" customHeight="1" x14ac:dyDescent="0.35">
      <c r="A30" s="1" t="s">
        <v>160</v>
      </c>
      <c r="B30" t="s">
        <v>132</v>
      </c>
      <c r="C30" t="s">
        <v>133</v>
      </c>
      <c r="D30">
        <v>1</v>
      </c>
    </row>
    <row r="31" spans="1:4" ht="13.25" customHeight="1" x14ac:dyDescent="0.35">
      <c r="A31" s="1" t="s">
        <v>161</v>
      </c>
      <c r="B31" t="s">
        <v>132</v>
      </c>
      <c r="C31" t="s">
        <v>133</v>
      </c>
      <c r="D31">
        <v>1</v>
      </c>
    </row>
    <row r="32" spans="1:4" ht="13.25" customHeight="1" x14ac:dyDescent="0.35">
      <c r="A32" s="1" t="s">
        <v>162</v>
      </c>
      <c r="B32" t="s">
        <v>132</v>
      </c>
      <c r="C32" t="s">
        <v>133</v>
      </c>
      <c r="D32">
        <v>1</v>
      </c>
    </row>
    <row r="33" spans="1:4" ht="13.25" customHeight="1" x14ac:dyDescent="0.35">
      <c r="A33" s="1" t="s">
        <v>163</v>
      </c>
      <c r="B33" t="s">
        <v>132</v>
      </c>
      <c r="C33" t="s">
        <v>133</v>
      </c>
      <c r="D33">
        <v>1</v>
      </c>
    </row>
    <row r="34" spans="1:4" ht="13.25" customHeight="1" x14ac:dyDescent="0.35">
      <c r="A34" s="1" t="s">
        <v>164</v>
      </c>
      <c r="B34" t="s">
        <v>132</v>
      </c>
      <c r="C34" t="s">
        <v>133</v>
      </c>
      <c r="D34">
        <v>1</v>
      </c>
    </row>
    <row r="35" spans="1:4" ht="13.25" customHeight="1" x14ac:dyDescent="0.35">
      <c r="A35" s="1" t="s">
        <v>165</v>
      </c>
      <c r="B35" t="s">
        <v>132</v>
      </c>
      <c r="C35" t="s">
        <v>133</v>
      </c>
      <c r="D35">
        <v>1</v>
      </c>
    </row>
    <row r="36" spans="1:4" ht="13.25" customHeight="1" x14ac:dyDescent="0.35">
      <c r="A36" s="1" t="s">
        <v>166</v>
      </c>
      <c r="B36" t="s">
        <v>132</v>
      </c>
      <c r="C36" t="s">
        <v>133</v>
      </c>
      <c r="D36">
        <v>1</v>
      </c>
    </row>
    <row r="37" spans="1:4" ht="13.25" customHeight="1" x14ac:dyDescent="0.35">
      <c r="A37" s="1" t="s">
        <v>167</v>
      </c>
      <c r="B37" t="s">
        <v>132</v>
      </c>
      <c r="C37" t="s">
        <v>133</v>
      </c>
      <c r="D37">
        <v>1</v>
      </c>
    </row>
    <row r="38" spans="1:4" ht="13.25" customHeight="1" x14ac:dyDescent="0.35">
      <c r="A38" s="1" t="s">
        <v>168</v>
      </c>
      <c r="B38" t="s">
        <v>132</v>
      </c>
      <c r="C38" t="s">
        <v>133</v>
      </c>
      <c r="D38">
        <v>1</v>
      </c>
    </row>
    <row r="39" spans="1:4" ht="13.25" customHeight="1" x14ac:dyDescent="0.35">
      <c r="A39" s="1" t="s">
        <v>169</v>
      </c>
      <c r="B39" t="s">
        <v>132</v>
      </c>
      <c r="C39" t="s">
        <v>133</v>
      </c>
      <c r="D39">
        <v>1</v>
      </c>
    </row>
    <row r="40" spans="1:4" ht="13.25" customHeight="1" x14ac:dyDescent="0.35">
      <c r="A40" s="1" t="s">
        <v>170</v>
      </c>
      <c r="B40" t="s">
        <v>132</v>
      </c>
      <c r="C40" t="s">
        <v>133</v>
      </c>
      <c r="D40">
        <v>1</v>
      </c>
    </row>
    <row r="41" spans="1:4" ht="13.25" customHeight="1" x14ac:dyDescent="0.35">
      <c r="A41" s="1" t="s">
        <v>171</v>
      </c>
      <c r="B41" t="s">
        <v>172</v>
      </c>
      <c r="C41" t="s">
        <v>133</v>
      </c>
      <c r="D41">
        <v>1</v>
      </c>
    </row>
    <row r="42" spans="1:4" ht="13.25" customHeight="1" x14ac:dyDescent="0.35">
      <c r="A42" s="1" t="s">
        <v>173</v>
      </c>
      <c r="B42" t="s">
        <v>172</v>
      </c>
      <c r="C42" t="s">
        <v>133</v>
      </c>
      <c r="D42">
        <v>1</v>
      </c>
    </row>
    <row r="43" spans="1:4" ht="13.25" customHeight="1" x14ac:dyDescent="0.35">
      <c r="A43" s="1" t="s">
        <v>174</v>
      </c>
      <c r="B43" t="s">
        <v>172</v>
      </c>
      <c r="C43" t="s">
        <v>133</v>
      </c>
      <c r="D43">
        <v>1</v>
      </c>
    </row>
    <row r="44" spans="1:4" ht="13.25" customHeight="1" x14ac:dyDescent="0.35">
      <c r="A44" s="1" t="s">
        <v>175</v>
      </c>
      <c r="B44" t="s">
        <v>172</v>
      </c>
      <c r="C44" t="s">
        <v>133</v>
      </c>
      <c r="D44">
        <v>1</v>
      </c>
    </row>
    <row r="45" spans="1:4" ht="13.25" customHeight="1" x14ac:dyDescent="0.35">
      <c r="A45" s="1" t="s">
        <v>176</v>
      </c>
      <c r="B45" t="s">
        <v>172</v>
      </c>
      <c r="C45" t="s">
        <v>133</v>
      </c>
      <c r="D45">
        <v>1</v>
      </c>
    </row>
    <row r="46" spans="1:4" ht="13.25" customHeight="1" x14ac:dyDescent="0.35">
      <c r="A46" s="1" t="s">
        <v>177</v>
      </c>
      <c r="B46" t="s">
        <v>172</v>
      </c>
      <c r="C46" t="s">
        <v>133</v>
      </c>
      <c r="D46">
        <v>1</v>
      </c>
    </row>
    <row r="47" spans="1:4" ht="13.25" customHeight="1" x14ac:dyDescent="0.35">
      <c r="A47" s="1" t="s">
        <v>178</v>
      </c>
      <c r="B47" t="s">
        <v>172</v>
      </c>
      <c r="C47" t="s">
        <v>133</v>
      </c>
      <c r="D47">
        <v>1</v>
      </c>
    </row>
    <row r="48" spans="1:4" ht="13.25" customHeight="1" x14ac:dyDescent="0.35">
      <c r="A48" s="1" t="s">
        <v>179</v>
      </c>
      <c r="B48" t="s">
        <v>172</v>
      </c>
      <c r="C48" t="s">
        <v>133</v>
      </c>
      <c r="D48">
        <v>1</v>
      </c>
    </row>
    <row r="49" spans="1:4" ht="13.25" customHeight="1" x14ac:dyDescent="0.35">
      <c r="A49" s="1" t="s">
        <v>180</v>
      </c>
      <c r="B49" t="s">
        <v>172</v>
      </c>
      <c r="C49" t="s">
        <v>133</v>
      </c>
      <c r="D49">
        <v>1</v>
      </c>
    </row>
    <row r="50" spans="1:4" ht="13.25" customHeight="1" x14ac:dyDescent="0.35">
      <c r="A50" s="1" t="s">
        <v>181</v>
      </c>
      <c r="B50" t="s">
        <v>172</v>
      </c>
      <c r="C50" t="s">
        <v>133</v>
      </c>
      <c r="D50">
        <v>1</v>
      </c>
    </row>
    <row r="51" spans="1:4" ht="13.25" customHeight="1" x14ac:dyDescent="0.35">
      <c r="A51" s="1" t="s">
        <v>182</v>
      </c>
      <c r="B51" t="s">
        <v>172</v>
      </c>
      <c r="C51" t="s">
        <v>133</v>
      </c>
      <c r="D51">
        <v>1</v>
      </c>
    </row>
    <row r="52" spans="1:4" ht="13.25" customHeight="1" x14ac:dyDescent="0.35">
      <c r="A52" s="1" t="s">
        <v>183</v>
      </c>
      <c r="B52" t="s">
        <v>172</v>
      </c>
      <c r="C52" t="s">
        <v>133</v>
      </c>
      <c r="D52">
        <v>1</v>
      </c>
    </row>
    <row r="53" spans="1:4" ht="13.25" customHeight="1" x14ac:dyDescent="0.35">
      <c r="A53" s="1" t="s">
        <v>184</v>
      </c>
      <c r="B53" t="s">
        <v>172</v>
      </c>
      <c r="C53" t="s">
        <v>133</v>
      </c>
      <c r="D53">
        <v>1</v>
      </c>
    </row>
    <row r="54" spans="1:4" ht="13.25" customHeight="1" x14ac:dyDescent="0.35">
      <c r="A54" s="1" t="s">
        <v>185</v>
      </c>
      <c r="B54" t="s">
        <v>172</v>
      </c>
      <c r="C54" t="s">
        <v>133</v>
      </c>
      <c r="D54">
        <v>1</v>
      </c>
    </row>
    <row r="55" spans="1:4" ht="13.25" customHeight="1" x14ac:dyDescent="0.35">
      <c r="A55" s="20" t="s">
        <v>186</v>
      </c>
      <c r="B55" t="s">
        <v>172</v>
      </c>
      <c r="C55" t="s">
        <v>133</v>
      </c>
      <c r="D55">
        <v>1</v>
      </c>
    </row>
    <row r="56" spans="1:4" ht="13.25" customHeight="1" x14ac:dyDescent="0.35">
      <c r="A56" s="21" t="s">
        <v>187</v>
      </c>
      <c r="B56" t="s">
        <v>188</v>
      </c>
      <c r="D56">
        <v>0</v>
      </c>
    </row>
    <row r="57" spans="1:4" ht="13.25" customHeight="1" x14ac:dyDescent="0.35">
      <c r="A57" s="21" t="s">
        <v>189</v>
      </c>
      <c r="B57" t="s">
        <v>188</v>
      </c>
      <c r="C57" t="s">
        <v>190</v>
      </c>
      <c r="D57">
        <v>0.25</v>
      </c>
    </row>
    <row r="58" spans="1:4" ht="13.25" customHeight="1" x14ac:dyDescent="0.35">
      <c r="A58" s="21" t="s">
        <v>191</v>
      </c>
      <c r="B58" t="s">
        <v>188</v>
      </c>
      <c r="C58" t="s">
        <v>190</v>
      </c>
      <c r="D58">
        <v>0.25</v>
      </c>
    </row>
    <row r="59" spans="1:4" ht="13.25" customHeight="1" x14ac:dyDescent="0.35">
      <c r="A59" s="21" t="s">
        <v>192</v>
      </c>
      <c r="B59" t="s">
        <v>188</v>
      </c>
      <c r="C59" t="s">
        <v>190</v>
      </c>
      <c r="D59">
        <v>0.25</v>
      </c>
    </row>
    <row r="60" spans="1:4" ht="13.25" customHeight="1" x14ac:dyDescent="0.35">
      <c r="A60" s="21" t="s">
        <v>193</v>
      </c>
      <c r="B60" t="s">
        <v>188</v>
      </c>
      <c r="C60" t="s">
        <v>190</v>
      </c>
      <c r="D60">
        <v>0.25</v>
      </c>
    </row>
    <row r="61" spans="1:4" ht="13.25" customHeight="1" x14ac:dyDescent="0.35">
      <c r="A61" s="21" t="s">
        <v>194</v>
      </c>
      <c r="B61" t="s">
        <v>188</v>
      </c>
      <c r="C61" t="s">
        <v>190</v>
      </c>
      <c r="D61">
        <v>0.25</v>
      </c>
    </row>
    <row r="62" spans="1:4" ht="13.25" customHeight="1" x14ac:dyDescent="0.35">
      <c r="A62" s="21" t="s">
        <v>195</v>
      </c>
      <c r="B62" t="s">
        <v>188</v>
      </c>
      <c r="C62" t="s">
        <v>190</v>
      </c>
      <c r="D62">
        <v>0.25</v>
      </c>
    </row>
    <row r="63" spans="1:4" ht="13.25" customHeight="1" x14ac:dyDescent="0.35">
      <c r="A63" s="21" t="s">
        <v>196</v>
      </c>
      <c r="B63" t="s">
        <v>188</v>
      </c>
      <c r="C63" t="s">
        <v>190</v>
      </c>
      <c r="D63">
        <v>0.25</v>
      </c>
    </row>
    <row r="64" spans="1:4" ht="13.25" customHeight="1" x14ac:dyDescent="0.35">
      <c r="A64" s="21" t="s">
        <v>197</v>
      </c>
      <c r="B64" t="s">
        <v>188</v>
      </c>
      <c r="C64" t="s">
        <v>190</v>
      </c>
      <c r="D64">
        <v>0.25</v>
      </c>
    </row>
    <row r="65" spans="1:4" ht="13.25" customHeight="1" x14ac:dyDescent="0.35">
      <c r="A65" s="21" t="s">
        <v>198</v>
      </c>
      <c r="B65" t="s">
        <v>188</v>
      </c>
      <c r="C65" t="s">
        <v>190</v>
      </c>
      <c r="D65">
        <v>0.25</v>
      </c>
    </row>
    <row r="66" spans="1:4" ht="13.25" customHeight="1" x14ac:dyDescent="0.35">
      <c r="A66" s="21" t="s">
        <v>199</v>
      </c>
      <c r="B66" t="s">
        <v>188</v>
      </c>
      <c r="C66" t="s">
        <v>190</v>
      </c>
      <c r="D66">
        <v>0.25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0599-DB08-4AD1-B97E-D98480205747}">
  <dimension ref="D1:S63"/>
  <sheetViews>
    <sheetView tabSelected="1" workbookViewId="0">
      <selection activeCell="G13" sqref="G13"/>
    </sheetView>
  </sheetViews>
  <sheetFormatPr defaultRowHeight="14.5" x14ac:dyDescent="0.35"/>
  <cols>
    <col min="1" max="3" width="1.7265625" customWidth="1"/>
    <col min="4" max="4" width="51.453125" customWidth="1"/>
    <col min="5" max="19" width="13.6328125" customWidth="1"/>
  </cols>
  <sheetData>
    <row r="1" spans="4:19" ht="15" thickBot="1" x14ac:dyDescent="0.4">
      <c r="D1" s="25" t="s">
        <v>418</v>
      </c>
    </row>
    <row r="2" spans="4:19" ht="15.5" thickBot="1" x14ac:dyDescent="0.45">
      <c r="D2" t="s">
        <v>419</v>
      </c>
      <c r="E2" s="70">
        <v>0.1</v>
      </c>
      <c r="F2" s="70">
        <v>0</v>
      </c>
      <c r="G2" s="70">
        <v>0.1</v>
      </c>
      <c r="H2" s="70">
        <v>0.1</v>
      </c>
      <c r="I2" s="70">
        <v>0.1</v>
      </c>
      <c r="J2" s="70">
        <v>0</v>
      </c>
      <c r="K2" s="70">
        <v>0</v>
      </c>
      <c r="L2" s="70">
        <v>0.1</v>
      </c>
      <c r="M2" s="70">
        <v>0.05</v>
      </c>
      <c r="N2" s="70">
        <v>0.1</v>
      </c>
      <c r="O2" s="70">
        <v>0.1</v>
      </c>
      <c r="P2" s="70">
        <v>0.1</v>
      </c>
      <c r="Q2" s="70">
        <v>0.05</v>
      </c>
      <c r="R2" s="70">
        <v>0.05</v>
      </c>
      <c r="S2" s="71">
        <v>0.1</v>
      </c>
    </row>
    <row r="4" spans="4:19" ht="15" thickBot="1" x14ac:dyDescent="0.4"/>
    <row r="5" spans="4:19" x14ac:dyDescent="0.35">
      <c r="D5" s="66" t="s">
        <v>200</v>
      </c>
      <c r="E5" s="30" t="s">
        <v>402</v>
      </c>
      <c r="F5" s="30" t="s">
        <v>417</v>
      </c>
      <c r="G5" s="68" t="s">
        <v>403</v>
      </c>
      <c r="H5" s="68" t="s">
        <v>404</v>
      </c>
      <c r="I5" s="62" t="s">
        <v>405</v>
      </c>
      <c r="J5" s="62" t="s">
        <v>406</v>
      </c>
      <c r="K5" s="62" t="s">
        <v>407</v>
      </c>
      <c r="L5" s="62" t="s">
        <v>414</v>
      </c>
      <c r="M5" s="64" t="s">
        <v>408</v>
      </c>
      <c r="N5" s="64" t="s">
        <v>409</v>
      </c>
      <c r="O5" s="64" t="s">
        <v>410</v>
      </c>
      <c r="P5" s="64" t="s">
        <v>415</v>
      </c>
      <c r="Q5" s="58" t="s">
        <v>411</v>
      </c>
      <c r="R5" s="58" t="s">
        <v>412</v>
      </c>
      <c r="S5" s="60" t="s">
        <v>413</v>
      </c>
    </row>
    <row r="6" spans="4:19" ht="15" thickBot="1" x14ac:dyDescent="0.4">
      <c r="D6" s="67"/>
      <c r="E6" s="31" t="s">
        <v>416</v>
      </c>
      <c r="F6" s="31" t="s">
        <v>416</v>
      </c>
      <c r="G6" s="69"/>
      <c r="H6" s="69"/>
      <c r="I6" s="63"/>
      <c r="J6" s="63"/>
      <c r="K6" s="63"/>
      <c r="L6" s="63"/>
      <c r="M6" s="65"/>
      <c r="N6" s="65"/>
      <c r="O6" s="65"/>
      <c r="P6" s="65"/>
      <c r="Q6" s="59"/>
      <c r="R6" s="59"/>
      <c r="S6" s="61"/>
    </row>
    <row r="7" spans="4:19" ht="13" customHeight="1" x14ac:dyDescent="0.4">
      <c r="D7" s="32" t="s">
        <v>29</v>
      </c>
      <c r="E7" s="26">
        <v>0.57999999999999996</v>
      </c>
      <c r="F7" s="29">
        <v>0.49</v>
      </c>
      <c r="G7" s="27">
        <v>734</v>
      </c>
      <c r="H7" s="29">
        <v>0.05</v>
      </c>
      <c r="I7" s="28">
        <v>8.6999999999999994E-2</v>
      </c>
      <c r="J7" s="27">
        <v>23</v>
      </c>
      <c r="K7" s="29">
        <v>0.38</v>
      </c>
      <c r="L7" s="28">
        <v>1.6E-2</v>
      </c>
      <c r="M7" s="27">
        <v>35.1</v>
      </c>
      <c r="N7" s="27">
        <v>23.4</v>
      </c>
      <c r="O7" s="28">
        <v>0.66800000000000004</v>
      </c>
      <c r="P7" s="28">
        <v>2.4E-2</v>
      </c>
      <c r="Q7" s="28">
        <v>8.0000000000000002E-3</v>
      </c>
      <c r="R7" s="28">
        <v>-3.4000000000000002E-2</v>
      </c>
      <c r="S7" s="28">
        <v>0.29099999999999998</v>
      </c>
    </row>
    <row r="8" spans="4:19" ht="13" customHeight="1" x14ac:dyDescent="0.4">
      <c r="D8" s="33" t="s">
        <v>43</v>
      </c>
      <c r="E8" s="34">
        <v>0.28999999999999998</v>
      </c>
      <c r="F8" s="35">
        <v>0.28999999999999998</v>
      </c>
      <c r="G8" s="36">
        <v>765</v>
      </c>
      <c r="H8" s="35">
        <v>7.0000000000000007E-2</v>
      </c>
      <c r="I8" s="37">
        <v>8.4000000000000005E-2</v>
      </c>
      <c r="J8" s="36">
        <v>26</v>
      </c>
      <c r="K8" s="35">
        <v>0.33</v>
      </c>
      <c r="L8" s="37">
        <v>0.01</v>
      </c>
      <c r="M8" s="36">
        <v>23.2</v>
      </c>
      <c r="N8" s="36">
        <v>13.6</v>
      </c>
      <c r="O8" s="37">
        <v>0.58599999999999997</v>
      </c>
      <c r="P8" s="37">
        <v>3.5000000000000003E-2</v>
      </c>
      <c r="Q8" s="37">
        <v>2.5000000000000001E-2</v>
      </c>
      <c r="R8" s="37">
        <v>-5.8000000000000003E-2</v>
      </c>
      <c r="S8" s="37">
        <v>0.25600000000000001</v>
      </c>
    </row>
    <row r="9" spans="4:19" ht="13" customHeight="1" x14ac:dyDescent="0.4">
      <c r="D9" s="38" t="s">
        <v>64</v>
      </c>
      <c r="E9" s="39">
        <v>0.1</v>
      </c>
      <c r="F9" s="40">
        <v>0.3</v>
      </c>
      <c r="G9" s="41">
        <v>1023</v>
      </c>
      <c r="H9" s="40">
        <v>0.12</v>
      </c>
      <c r="I9" s="42">
        <v>4.5999999999999999E-2</v>
      </c>
      <c r="J9" s="41">
        <v>9</v>
      </c>
      <c r="K9" s="40">
        <v>0.21</v>
      </c>
      <c r="L9" s="42">
        <v>0.114</v>
      </c>
      <c r="M9" s="41">
        <v>4.3</v>
      </c>
      <c r="N9" s="41">
        <v>2.2000000000000002</v>
      </c>
      <c r="O9" s="42">
        <v>0.498</v>
      </c>
      <c r="P9" s="42">
        <v>0.12</v>
      </c>
      <c r="Q9" s="42">
        <v>6.0000000000000001E-3</v>
      </c>
      <c r="R9" s="42">
        <v>-4.0000000000000001E-3</v>
      </c>
      <c r="S9" s="42">
        <v>0.28399999999999997</v>
      </c>
    </row>
    <row r="10" spans="4:19" ht="13" customHeight="1" x14ac:dyDescent="0.4">
      <c r="D10" s="33" t="s">
        <v>46</v>
      </c>
      <c r="E10" s="34">
        <v>0.28000000000000003</v>
      </c>
      <c r="F10" s="35">
        <v>0.22</v>
      </c>
      <c r="G10" s="36">
        <v>48</v>
      </c>
      <c r="H10" s="35">
        <v>0.02</v>
      </c>
      <c r="I10" s="37">
        <v>0.11</v>
      </c>
      <c r="J10" s="36">
        <v>2</v>
      </c>
      <c r="K10" s="35">
        <v>0.33</v>
      </c>
      <c r="L10" s="37">
        <v>0.01</v>
      </c>
      <c r="M10" s="36">
        <v>1.7</v>
      </c>
      <c r="N10" s="36">
        <v>0.8</v>
      </c>
      <c r="O10" s="37">
        <v>0.50700000000000001</v>
      </c>
      <c r="P10" s="37">
        <v>-4.9000000000000002E-2</v>
      </c>
      <c r="Q10" s="37">
        <v>-5.8999999999999997E-2</v>
      </c>
      <c r="R10" s="37">
        <v>-0.01</v>
      </c>
      <c r="S10" s="37">
        <v>0.17599999999999999</v>
      </c>
    </row>
    <row r="11" spans="4:19" ht="13" customHeight="1" x14ac:dyDescent="0.4">
      <c r="D11" s="38" t="s">
        <v>33</v>
      </c>
      <c r="E11" s="39">
        <v>0.43</v>
      </c>
      <c r="F11" s="40">
        <v>0.78</v>
      </c>
      <c r="G11" s="41">
        <v>165</v>
      </c>
      <c r="H11" s="40">
        <v>0.02</v>
      </c>
      <c r="I11" s="42">
        <v>0.28999999999999998</v>
      </c>
      <c r="J11" s="41">
        <v>16</v>
      </c>
      <c r="K11" s="40">
        <v>0.3</v>
      </c>
      <c r="L11" s="42">
        <v>-5.0000000000000001E-3</v>
      </c>
      <c r="M11" s="41">
        <v>22.7</v>
      </c>
      <c r="N11" s="41">
        <v>11.8</v>
      </c>
      <c r="O11" s="42">
        <v>0.52100000000000002</v>
      </c>
      <c r="P11" s="42">
        <v>3.3000000000000002E-2</v>
      </c>
      <c r="Q11" s="42">
        <v>3.7999999999999999E-2</v>
      </c>
      <c r="R11" s="42">
        <v>-2.5000000000000001E-2</v>
      </c>
      <c r="S11" s="42">
        <v>0.218</v>
      </c>
    </row>
    <row r="12" spans="4:19" ht="13" customHeight="1" x14ac:dyDescent="0.4">
      <c r="D12" s="33" t="s">
        <v>55</v>
      </c>
      <c r="E12" s="34">
        <v>0.21</v>
      </c>
      <c r="F12" s="35">
        <v>0.17</v>
      </c>
      <c r="G12" s="36">
        <v>218</v>
      </c>
      <c r="H12" s="35">
        <v>0.12</v>
      </c>
      <c r="I12" s="37">
        <v>0.105</v>
      </c>
      <c r="J12" s="36">
        <v>4</v>
      </c>
      <c r="K12" s="35">
        <v>0.15</v>
      </c>
      <c r="L12" s="37">
        <v>-6.9000000000000006E-2</v>
      </c>
      <c r="M12" s="36">
        <v>4.9000000000000004</v>
      </c>
      <c r="N12" s="36">
        <v>1.4</v>
      </c>
      <c r="O12" s="37">
        <v>0.28399999999999997</v>
      </c>
      <c r="P12" s="37">
        <v>-8.7999999999999995E-2</v>
      </c>
      <c r="Q12" s="37">
        <v>-1.9E-2</v>
      </c>
      <c r="R12" s="37">
        <v>-0.193</v>
      </c>
      <c r="S12" s="37">
        <v>0.13700000000000001</v>
      </c>
    </row>
    <row r="13" spans="4:19" ht="13" customHeight="1" x14ac:dyDescent="0.4">
      <c r="D13" s="38" t="s">
        <v>45</v>
      </c>
      <c r="E13" s="39">
        <v>0.32</v>
      </c>
      <c r="F13" s="40">
        <v>0.24</v>
      </c>
      <c r="G13" s="41">
        <v>1037</v>
      </c>
      <c r="H13" s="40">
        <v>0.04</v>
      </c>
      <c r="I13" s="42">
        <v>0.128</v>
      </c>
      <c r="J13" s="41">
        <v>49</v>
      </c>
      <c r="K13" s="40">
        <v>0.35</v>
      </c>
      <c r="L13" s="42">
        <v>-1.2E-2</v>
      </c>
      <c r="M13" s="41">
        <v>46.5</v>
      </c>
      <c r="N13" s="41">
        <v>31.2</v>
      </c>
      <c r="O13" s="42">
        <v>0.67100000000000004</v>
      </c>
      <c r="P13" s="42">
        <v>-3.9E-2</v>
      </c>
      <c r="Q13" s="42">
        <v>-2.7E-2</v>
      </c>
      <c r="R13" s="42">
        <v>-4.8000000000000001E-2</v>
      </c>
      <c r="S13" s="42">
        <v>0.317</v>
      </c>
    </row>
    <row r="14" spans="4:19" ht="13" customHeight="1" x14ac:dyDescent="0.4">
      <c r="D14" s="33" t="s">
        <v>59</v>
      </c>
      <c r="E14" s="34">
        <v>0.14000000000000001</v>
      </c>
      <c r="F14" s="35">
        <v>0.25</v>
      </c>
      <c r="G14" s="36">
        <v>113</v>
      </c>
      <c r="H14" s="35">
        <v>0.09</v>
      </c>
      <c r="I14" s="37">
        <v>0.16200000000000001</v>
      </c>
      <c r="J14" s="36">
        <v>3</v>
      </c>
      <c r="K14" s="35">
        <v>0.17</v>
      </c>
      <c r="L14" s="37">
        <v>-7.2999999999999995E-2</v>
      </c>
      <c r="M14" s="36">
        <v>2.6</v>
      </c>
      <c r="N14" s="36">
        <v>1</v>
      </c>
      <c r="O14" s="37">
        <v>0.39200000000000002</v>
      </c>
      <c r="P14" s="37">
        <v>4.8000000000000001E-2</v>
      </c>
      <c r="Q14" s="37">
        <v>0.122</v>
      </c>
      <c r="R14" s="37">
        <v>-0.16300000000000001</v>
      </c>
      <c r="S14" s="37">
        <v>0.222</v>
      </c>
    </row>
    <row r="15" spans="4:19" ht="13" customHeight="1" x14ac:dyDescent="0.4">
      <c r="D15" s="38" t="s">
        <v>32</v>
      </c>
      <c r="E15" s="39">
        <v>0.23</v>
      </c>
      <c r="F15" s="40">
        <v>0.28999999999999998</v>
      </c>
      <c r="G15" s="41">
        <v>745</v>
      </c>
      <c r="H15" s="40">
        <v>0.03</v>
      </c>
      <c r="I15" s="42">
        <v>0.27100000000000002</v>
      </c>
      <c r="J15" s="41">
        <v>34</v>
      </c>
      <c r="K15" s="40">
        <v>0.17</v>
      </c>
      <c r="L15" s="42">
        <v>3.5000000000000003E-2</v>
      </c>
      <c r="M15" s="41">
        <v>45.5</v>
      </c>
      <c r="N15" s="41">
        <v>17.399999999999999</v>
      </c>
      <c r="O15" s="42">
        <v>0.38200000000000001</v>
      </c>
      <c r="P15" s="42">
        <v>6.2E-2</v>
      </c>
      <c r="Q15" s="42">
        <v>2.7E-2</v>
      </c>
      <c r="R15" s="42">
        <v>4.0000000000000001E-3</v>
      </c>
      <c r="S15" s="42">
        <v>0.20799999999999999</v>
      </c>
    </row>
    <row r="16" spans="4:19" ht="13" customHeight="1" x14ac:dyDescent="0.4">
      <c r="D16" s="33" t="s">
        <v>26</v>
      </c>
      <c r="E16" s="34">
        <v>0.6</v>
      </c>
      <c r="F16" s="35">
        <v>0.64</v>
      </c>
      <c r="G16" s="36">
        <v>545</v>
      </c>
      <c r="H16" s="35">
        <v>0.05</v>
      </c>
      <c r="I16" s="37">
        <v>6.2E-2</v>
      </c>
      <c r="J16" s="36">
        <v>12</v>
      </c>
      <c r="K16" s="35">
        <v>0.3</v>
      </c>
      <c r="L16" s="37">
        <v>-3.9E-2</v>
      </c>
      <c r="M16" s="36">
        <v>25.2</v>
      </c>
      <c r="N16" s="36">
        <v>11.4</v>
      </c>
      <c r="O16" s="37">
        <v>0.45</v>
      </c>
      <c r="P16" s="37">
        <v>-5.7000000000000002E-2</v>
      </c>
      <c r="Q16" s="37">
        <v>-1.7999999999999999E-2</v>
      </c>
      <c r="R16" s="37">
        <v>-8.4000000000000005E-2</v>
      </c>
      <c r="S16" s="37">
        <v>0.14899999999999999</v>
      </c>
    </row>
    <row r="17" spans="4:19" ht="13" customHeight="1" x14ac:dyDescent="0.4">
      <c r="D17" s="38" t="s">
        <v>68</v>
      </c>
      <c r="E17" s="39">
        <v>0.08</v>
      </c>
      <c r="F17" s="40">
        <v>0.2</v>
      </c>
      <c r="G17" s="41">
        <v>495</v>
      </c>
      <c r="H17" s="40">
        <v>0.03</v>
      </c>
      <c r="I17" s="42">
        <v>0.11899999999999999</v>
      </c>
      <c r="J17" s="41">
        <v>11</v>
      </c>
      <c r="K17" s="40">
        <v>0.18</v>
      </c>
      <c r="L17" s="42">
        <v>-5.8000000000000003E-2</v>
      </c>
      <c r="M17" s="41">
        <v>5.3</v>
      </c>
      <c r="N17" s="41">
        <v>2.2000000000000002</v>
      </c>
      <c r="O17" s="42">
        <v>0.40799999999999997</v>
      </c>
      <c r="P17" s="42">
        <v>-0.17899999999999999</v>
      </c>
      <c r="Q17" s="42">
        <v>-0.121</v>
      </c>
      <c r="R17" s="42">
        <v>-8.8999999999999996E-2</v>
      </c>
      <c r="S17" s="42">
        <v>0.23100000000000001</v>
      </c>
    </row>
    <row r="18" spans="4:19" ht="13" customHeight="1" x14ac:dyDescent="0.4">
      <c r="D18" s="33" t="s">
        <v>75</v>
      </c>
      <c r="E18" s="34">
        <v>0.01</v>
      </c>
      <c r="F18" s="35">
        <v>0.25</v>
      </c>
      <c r="G18" s="36">
        <v>274</v>
      </c>
      <c r="H18" s="35">
        <v>-0.05</v>
      </c>
      <c r="I18" s="37">
        <v>0.28199999999999997</v>
      </c>
      <c r="J18" s="36">
        <v>10</v>
      </c>
      <c r="K18" s="35">
        <v>0.12</v>
      </c>
      <c r="L18" s="37">
        <v>-7.3999999999999996E-2</v>
      </c>
      <c r="M18" s="36">
        <v>1.2</v>
      </c>
      <c r="N18" s="36">
        <v>0.4</v>
      </c>
      <c r="O18" s="37">
        <v>0.29799999999999999</v>
      </c>
      <c r="P18" s="37">
        <v>-0.11700000000000001</v>
      </c>
      <c r="Q18" s="37">
        <v>-4.3999999999999997E-2</v>
      </c>
      <c r="R18" s="37">
        <v>-2.3E-2</v>
      </c>
      <c r="S18" s="37">
        <v>0.17399999999999999</v>
      </c>
    </row>
    <row r="19" spans="4:19" ht="13" customHeight="1" x14ac:dyDescent="0.4">
      <c r="D19" s="38" t="s">
        <v>72</v>
      </c>
      <c r="E19" s="39">
        <v>0.03</v>
      </c>
      <c r="F19" s="40">
        <v>0.13</v>
      </c>
      <c r="G19" s="41">
        <v>578</v>
      </c>
      <c r="H19" s="40">
        <v>0.09</v>
      </c>
      <c r="I19" s="42">
        <v>0.33800000000000002</v>
      </c>
      <c r="J19" s="41">
        <v>36</v>
      </c>
      <c r="K19" s="40">
        <v>0.14000000000000001</v>
      </c>
      <c r="L19" s="42">
        <v>9.9000000000000005E-2</v>
      </c>
      <c r="M19" s="41">
        <v>8.5</v>
      </c>
      <c r="N19" s="41">
        <v>4.7</v>
      </c>
      <c r="O19" s="42">
        <v>0.55900000000000005</v>
      </c>
      <c r="P19" s="42">
        <v>2.8000000000000001E-2</v>
      </c>
      <c r="Q19" s="42">
        <v>-7.0000000000000007E-2</v>
      </c>
      <c r="R19" s="42">
        <v>4.0000000000000001E-3</v>
      </c>
      <c r="S19" s="42">
        <v>0.41399999999999998</v>
      </c>
    </row>
    <row r="20" spans="4:19" ht="13" customHeight="1" x14ac:dyDescent="0.4">
      <c r="D20" s="33" t="s">
        <v>41</v>
      </c>
      <c r="E20" s="34">
        <v>0.67</v>
      </c>
      <c r="F20" s="35">
        <v>0.5</v>
      </c>
      <c r="G20" s="36">
        <v>162</v>
      </c>
      <c r="H20" s="35">
        <v>0.03</v>
      </c>
      <c r="I20" s="37">
        <v>0.24399999999999999</v>
      </c>
      <c r="J20" s="36">
        <v>14</v>
      </c>
      <c r="K20" s="35">
        <v>0.32</v>
      </c>
      <c r="L20" s="37">
        <v>-5.8000000000000003E-2</v>
      </c>
      <c r="M20" s="36">
        <v>27.7</v>
      </c>
      <c r="N20" s="36">
        <v>15.7</v>
      </c>
      <c r="O20" s="37">
        <v>0.56599999999999995</v>
      </c>
      <c r="P20" s="37">
        <v>-2E-3</v>
      </c>
      <c r="Q20" s="37">
        <v>5.6000000000000001E-2</v>
      </c>
      <c r="R20" s="37">
        <v>-8.5999999999999993E-2</v>
      </c>
      <c r="S20" s="37">
        <v>0.245</v>
      </c>
    </row>
    <row r="21" spans="4:19" ht="13" customHeight="1" x14ac:dyDescent="0.4">
      <c r="D21" s="38" t="s">
        <v>79</v>
      </c>
      <c r="E21" s="39">
        <v>0</v>
      </c>
      <c r="F21" s="40">
        <v>0.1</v>
      </c>
      <c r="G21" s="41">
        <v>1553</v>
      </c>
      <c r="H21" s="40">
        <v>0.06</v>
      </c>
      <c r="I21" s="42">
        <v>0.47299999999999998</v>
      </c>
      <c r="J21" s="41">
        <v>101</v>
      </c>
      <c r="K21" s="40">
        <v>0.12</v>
      </c>
      <c r="L21" s="42">
        <v>0.11799999999999999</v>
      </c>
      <c r="M21" s="41">
        <v>0.1</v>
      </c>
      <c r="N21" s="41">
        <v>0</v>
      </c>
      <c r="O21" s="42">
        <v>0.67600000000000005</v>
      </c>
      <c r="P21" s="42">
        <v>0.51300000000000001</v>
      </c>
      <c r="Q21" s="42">
        <v>0.39400000000000002</v>
      </c>
      <c r="R21" s="42">
        <v>5.3999999999999999E-2</v>
      </c>
      <c r="S21" s="42">
        <v>0.55300000000000005</v>
      </c>
    </row>
    <row r="22" spans="4:19" ht="13" customHeight="1" x14ac:dyDescent="0.4">
      <c r="D22" s="33" t="s">
        <v>21</v>
      </c>
      <c r="E22" s="34">
        <v>0.76</v>
      </c>
      <c r="F22" s="35">
        <v>0.67</v>
      </c>
      <c r="G22" s="36">
        <v>362</v>
      </c>
      <c r="H22" s="35">
        <v>0.02</v>
      </c>
      <c r="I22" s="37">
        <v>0.19400000000000001</v>
      </c>
      <c r="J22" s="36">
        <v>31</v>
      </c>
      <c r="K22" s="35">
        <v>0.4</v>
      </c>
      <c r="L22" s="37">
        <v>-3.1E-2</v>
      </c>
      <c r="M22" s="36">
        <v>59</v>
      </c>
      <c r="N22" s="36">
        <v>42.1</v>
      </c>
      <c r="O22" s="37">
        <v>0.71399999999999997</v>
      </c>
      <c r="P22" s="37">
        <v>-2.5999999999999999E-2</v>
      </c>
      <c r="Q22" s="37">
        <v>5.0000000000000001E-3</v>
      </c>
      <c r="R22" s="37">
        <v>-5.5E-2</v>
      </c>
      <c r="S22" s="37">
        <v>0.31</v>
      </c>
    </row>
    <row r="23" spans="4:19" ht="13" customHeight="1" x14ac:dyDescent="0.4">
      <c r="D23" s="38" t="s">
        <v>19</v>
      </c>
      <c r="E23" s="39">
        <v>0.85</v>
      </c>
      <c r="F23" s="40">
        <v>0.31</v>
      </c>
      <c r="G23" s="41">
        <v>2888</v>
      </c>
      <c r="H23" s="40">
        <v>-0.08</v>
      </c>
      <c r="I23" s="42">
        <v>0.112</v>
      </c>
      <c r="J23" s="41">
        <v>141</v>
      </c>
      <c r="K23" s="40">
        <v>0.36</v>
      </c>
      <c r="L23" s="42">
        <v>-0.218</v>
      </c>
      <c r="M23" s="41">
        <v>332.6</v>
      </c>
      <c r="N23" s="41">
        <v>210.1</v>
      </c>
      <c r="O23" s="42">
        <v>0.63200000000000001</v>
      </c>
      <c r="P23" s="42">
        <v>-0.23599999999999999</v>
      </c>
      <c r="Q23" s="42">
        <v>-1.7999999999999999E-2</v>
      </c>
      <c r="R23" s="42">
        <v>-0.13600000000000001</v>
      </c>
      <c r="S23" s="42">
        <v>0.26800000000000002</v>
      </c>
    </row>
    <row r="24" spans="4:19" ht="13" customHeight="1" x14ac:dyDescent="0.4">
      <c r="D24" s="33" t="s">
        <v>34</v>
      </c>
      <c r="E24" s="34">
        <v>0.44</v>
      </c>
      <c r="F24" s="35">
        <v>0.77</v>
      </c>
      <c r="G24" s="36">
        <v>377</v>
      </c>
      <c r="H24" s="35">
        <v>0.05</v>
      </c>
      <c r="I24" s="37">
        <v>9.4E-2</v>
      </c>
      <c r="J24" s="36">
        <v>11</v>
      </c>
      <c r="K24" s="35">
        <v>0.32</v>
      </c>
      <c r="L24" s="37">
        <v>3.6999999999999998E-2</v>
      </c>
      <c r="M24" s="36">
        <v>14.6</v>
      </c>
      <c r="N24" s="36">
        <v>8.3000000000000007</v>
      </c>
      <c r="O24" s="37">
        <v>0.56999999999999995</v>
      </c>
      <c r="P24" s="37">
        <v>0.10100000000000001</v>
      </c>
      <c r="Q24" s="37">
        <v>6.3E-2</v>
      </c>
      <c r="R24" s="37">
        <v>-1.7000000000000001E-2</v>
      </c>
      <c r="S24" s="37">
        <v>0.248</v>
      </c>
    </row>
    <row r="25" spans="4:19" ht="13" customHeight="1" x14ac:dyDescent="0.4">
      <c r="D25" s="38" t="s">
        <v>42</v>
      </c>
      <c r="E25" s="39">
        <v>0.33</v>
      </c>
      <c r="F25" s="40">
        <v>0.35</v>
      </c>
      <c r="G25" s="41">
        <v>755</v>
      </c>
      <c r="H25" s="40">
        <v>0.09</v>
      </c>
      <c r="I25" s="42">
        <v>0.105</v>
      </c>
      <c r="J25" s="41">
        <v>25</v>
      </c>
      <c r="K25" s="40">
        <v>0.3</v>
      </c>
      <c r="L25" s="42">
        <v>-8.9999999999999993E-3</v>
      </c>
      <c r="M25" s="41">
        <v>25.9</v>
      </c>
      <c r="N25" s="41">
        <v>12.7</v>
      </c>
      <c r="O25" s="42">
        <v>0.49099999999999999</v>
      </c>
      <c r="P25" s="42">
        <v>0.13100000000000001</v>
      </c>
      <c r="Q25" s="42">
        <v>0.14000000000000001</v>
      </c>
      <c r="R25" s="42">
        <v>-0.10100000000000001</v>
      </c>
      <c r="S25" s="42">
        <v>0.191</v>
      </c>
    </row>
    <row r="26" spans="4:19" ht="13" customHeight="1" x14ac:dyDescent="0.4">
      <c r="D26" s="33" t="s">
        <v>28</v>
      </c>
      <c r="E26" s="34">
        <v>0.63</v>
      </c>
      <c r="F26" s="35">
        <v>0.75</v>
      </c>
      <c r="G26" s="36">
        <v>440</v>
      </c>
      <c r="H26" s="35">
        <v>0.03</v>
      </c>
      <c r="I26" s="37">
        <v>0.17599999999999999</v>
      </c>
      <c r="J26" s="36">
        <v>23</v>
      </c>
      <c r="K26" s="35">
        <v>0.28000000000000003</v>
      </c>
      <c r="L26" s="37">
        <v>1.9E-2</v>
      </c>
      <c r="M26" s="36">
        <v>49.2</v>
      </c>
      <c r="N26" s="36">
        <v>28.1</v>
      </c>
      <c r="O26" s="37">
        <v>0.57099999999999995</v>
      </c>
      <c r="P26" s="37">
        <v>3.5000000000000003E-2</v>
      </c>
      <c r="Q26" s="37">
        <v>1.6E-2</v>
      </c>
      <c r="R26" s="37">
        <v>-1.4999999999999999E-2</v>
      </c>
      <c r="S26" s="37">
        <v>0.28799999999999998</v>
      </c>
    </row>
    <row r="27" spans="4:19" ht="13" customHeight="1" thickBot="1" x14ac:dyDescent="0.45">
      <c r="D27" s="43" t="s">
        <v>36</v>
      </c>
      <c r="E27" s="44">
        <v>0.24</v>
      </c>
      <c r="F27" s="45">
        <v>0.33</v>
      </c>
      <c r="G27" s="46">
        <v>868</v>
      </c>
      <c r="H27" s="45">
        <v>0.05</v>
      </c>
      <c r="I27" s="47">
        <v>0.318</v>
      </c>
      <c r="J27" s="46">
        <v>48</v>
      </c>
      <c r="K27" s="45">
        <v>0.18</v>
      </c>
      <c r="L27" s="47">
        <v>5.6000000000000001E-2</v>
      </c>
      <c r="M27" s="46">
        <v>66</v>
      </c>
      <c r="N27" s="46">
        <v>23.7</v>
      </c>
      <c r="O27" s="47">
        <v>0.35899999999999999</v>
      </c>
      <c r="P27" s="47">
        <v>9.4E-2</v>
      </c>
      <c r="Q27" s="47">
        <v>3.7999999999999999E-2</v>
      </c>
      <c r="R27" s="47">
        <v>8.0000000000000002E-3</v>
      </c>
      <c r="S27" s="47">
        <v>0.18</v>
      </c>
    </row>
    <row r="28" spans="4:19" ht="15.5" thickBot="1" x14ac:dyDescent="0.45">
      <c r="D28" s="48" t="s">
        <v>67</v>
      </c>
      <c r="E28" s="49">
        <v>0.08</v>
      </c>
      <c r="F28" s="50">
        <v>0.17</v>
      </c>
      <c r="G28" s="51">
        <v>6323</v>
      </c>
      <c r="H28" s="50">
        <v>0.08</v>
      </c>
      <c r="I28" s="52">
        <v>8.5999999999999993E-2</v>
      </c>
      <c r="J28" s="51">
        <v>178</v>
      </c>
      <c r="K28" s="50">
        <v>0.25</v>
      </c>
      <c r="L28" s="52">
        <v>6.3E-2</v>
      </c>
      <c r="M28" s="51">
        <v>50.5</v>
      </c>
      <c r="N28" s="51">
        <v>25.4</v>
      </c>
      <c r="O28" s="52">
        <v>0.503</v>
      </c>
      <c r="P28" s="52">
        <v>0.20899999999999999</v>
      </c>
      <c r="Q28" s="52">
        <v>0.14499999999999999</v>
      </c>
      <c r="R28" s="52">
        <v>-1.2999999999999999E-2</v>
      </c>
      <c r="S28" s="52">
        <v>0.255</v>
      </c>
    </row>
    <row r="29" spans="4:19" ht="15" x14ac:dyDescent="0.4">
      <c r="D29" s="32" t="s">
        <v>61</v>
      </c>
      <c r="E29" s="26">
        <v>0.16</v>
      </c>
      <c r="F29" s="29">
        <v>0.28000000000000003</v>
      </c>
      <c r="G29" s="27">
        <v>4581</v>
      </c>
      <c r="H29" s="29">
        <v>7.0000000000000007E-2</v>
      </c>
      <c r="I29" s="28">
        <v>2.5000000000000001E-2</v>
      </c>
      <c r="J29" s="27">
        <v>27</v>
      </c>
      <c r="K29" s="29">
        <v>0.21</v>
      </c>
      <c r="L29" s="28">
        <v>0</v>
      </c>
      <c r="M29" s="27">
        <v>21.4</v>
      </c>
      <c r="N29" s="27">
        <v>11.1</v>
      </c>
      <c r="O29" s="28">
        <v>0.51900000000000002</v>
      </c>
      <c r="P29" s="28">
        <v>-2E-3</v>
      </c>
      <c r="Q29" s="28">
        <v>-2E-3</v>
      </c>
      <c r="R29" s="28">
        <v>-7.2999999999999995E-2</v>
      </c>
      <c r="S29" s="28">
        <v>0.308</v>
      </c>
    </row>
    <row r="30" spans="4:19" ht="15" x14ac:dyDescent="0.4">
      <c r="D30" s="33" t="s">
        <v>30</v>
      </c>
      <c r="E30" s="34">
        <v>0.28999999999999998</v>
      </c>
      <c r="F30" s="35">
        <v>0.56999999999999995</v>
      </c>
      <c r="G30" s="36">
        <v>258</v>
      </c>
      <c r="H30" s="35">
        <v>0.03</v>
      </c>
      <c r="I30" s="37">
        <v>0.34399999999999997</v>
      </c>
      <c r="J30" s="36">
        <v>20</v>
      </c>
      <c r="K30" s="35">
        <v>0.22</v>
      </c>
      <c r="L30" s="37">
        <v>9.8000000000000004E-2</v>
      </c>
      <c r="M30" s="36">
        <v>23.7</v>
      </c>
      <c r="N30" s="36">
        <v>15.2</v>
      </c>
      <c r="O30" s="37">
        <v>0.64</v>
      </c>
      <c r="P30" s="37">
        <v>6.9000000000000006E-2</v>
      </c>
      <c r="Q30" s="37">
        <v>-2.8000000000000001E-2</v>
      </c>
      <c r="R30" s="37">
        <v>6.5000000000000002E-2</v>
      </c>
      <c r="S30" s="37">
        <v>0.41599999999999998</v>
      </c>
    </row>
    <row r="31" spans="4:19" ht="15" x14ac:dyDescent="0.4">
      <c r="D31" s="38" t="s">
        <v>66</v>
      </c>
      <c r="E31" s="39">
        <v>0.11</v>
      </c>
      <c r="F31" s="40">
        <v>0.27</v>
      </c>
      <c r="G31" s="41">
        <v>313</v>
      </c>
      <c r="H31" s="40">
        <v>0.05</v>
      </c>
      <c r="I31" s="42">
        <v>8.2000000000000003E-2</v>
      </c>
      <c r="J31" s="41">
        <v>7</v>
      </c>
      <c r="K31" s="40">
        <v>0.26</v>
      </c>
      <c r="L31" s="42">
        <v>-1.9E-2</v>
      </c>
      <c r="M31" s="41">
        <v>3.3</v>
      </c>
      <c r="N31" s="41">
        <v>1.4</v>
      </c>
      <c r="O31" s="42">
        <v>0.435</v>
      </c>
      <c r="P31" s="42">
        <v>-1E-3</v>
      </c>
      <c r="Q31" s="42">
        <v>1.7999999999999999E-2</v>
      </c>
      <c r="R31" s="42">
        <v>-7.2999999999999995E-2</v>
      </c>
      <c r="S31" s="42">
        <v>0.17799999999999999</v>
      </c>
    </row>
    <row r="32" spans="4:19" ht="15" x14ac:dyDescent="0.4">
      <c r="D32" s="33" t="s">
        <v>71</v>
      </c>
      <c r="E32" s="34">
        <v>0.05</v>
      </c>
      <c r="F32" s="35">
        <v>0.15</v>
      </c>
      <c r="G32" s="36">
        <v>638</v>
      </c>
      <c r="H32" s="35">
        <v>0.03</v>
      </c>
      <c r="I32" s="37">
        <v>0.42299999999999999</v>
      </c>
      <c r="J32" s="36">
        <v>70</v>
      </c>
      <c r="K32" s="35">
        <v>0.26</v>
      </c>
      <c r="L32" s="37">
        <v>2.3E-2</v>
      </c>
      <c r="M32" s="36">
        <v>12.9</v>
      </c>
      <c r="N32" s="36">
        <v>8.5</v>
      </c>
      <c r="O32" s="37">
        <v>0.65400000000000003</v>
      </c>
      <c r="P32" s="37">
        <v>1.7000000000000001E-2</v>
      </c>
      <c r="Q32" s="37">
        <v>-6.0000000000000001E-3</v>
      </c>
      <c r="R32" s="37">
        <v>-8.9999999999999993E-3</v>
      </c>
      <c r="S32" s="37">
        <v>0.39900000000000002</v>
      </c>
    </row>
    <row r="33" spans="4:19" ht="15" x14ac:dyDescent="0.4">
      <c r="D33" s="38" t="s">
        <v>63</v>
      </c>
      <c r="E33" s="39">
        <v>0.1</v>
      </c>
      <c r="F33" s="40">
        <v>0.44</v>
      </c>
      <c r="G33" s="41">
        <v>499</v>
      </c>
      <c r="H33" s="40">
        <v>0.02</v>
      </c>
      <c r="I33" s="42">
        <v>6.0999999999999999E-2</v>
      </c>
      <c r="J33" s="41">
        <v>13</v>
      </c>
      <c r="K33" s="40">
        <v>0.37</v>
      </c>
      <c r="L33" s="42">
        <v>6.8000000000000005E-2</v>
      </c>
      <c r="M33" s="41">
        <v>3.5</v>
      </c>
      <c r="N33" s="41">
        <v>2.4</v>
      </c>
      <c r="O33" s="42">
        <v>0.68400000000000005</v>
      </c>
      <c r="P33" s="42">
        <v>3.4000000000000002E-2</v>
      </c>
      <c r="Q33" s="42">
        <v>-3.4000000000000002E-2</v>
      </c>
      <c r="R33" s="42">
        <v>4.5999999999999999E-2</v>
      </c>
      <c r="S33" s="42">
        <v>0.309</v>
      </c>
    </row>
    <row r="34" spans="4:19" ht="15" x14ac:dyDescent="0.4">
      <c r="D34" s="33" t="s">
        <v>31</v>
      </c>
      <c r="E34" s="34">
        <v>0.51</v>
      </c>
      <c r="F34" s="35">
        <v>0.28999999999999998</v>
      </c>
      <c r="G34" s="36">
        <v>207</v>
      </c>
      <c r="H34" s="35">
        <v>0.08</v>
      </c>
      <c r="I34" s="37">
        <v>0.26200000000000001</v>
      </c>
      <c r="J34" s="36">
        <v>19</v>
      </c>
      <c r="K34" s="35">
        <v>0.35</v>
      </c>
      <c r="L34" s="37">
        <v>2.1999999999999999E-2</v>
      </c>
      <c r="M34" s="36">
        <v>26.4</v>
      </c>
      <c r="N34" s="36">
        <v>14.7</v>
      </c>
      <c r="O34" s="37">
        <v>0.55900000000000005</v>
      </c>
      <c r="P34" s="37">
        <v>4.3999999999999997E-2</v>
      </c>
      <c r="Q34" s="37">
        <v>2.1999999999999999E-2</v>
      </c>
      <c r="R34" s="37">
        <v>-5.3999999999999999E-2</v>
      </c>
      <c r="S34" s="37">
        <v>0.21299999999999999</v>
      </c>
    </row>
    <row r="35" spans="4:19" ht="15" x14ac:dyDescent="0.4">
      <c r="D35" s="38" t="s">
        <v>69</v>
      </c>
      <c r="E35" s="39">
        <v>7.0000000000000007E-2</v>
      </c>
      <c r="F35" s="40">
        <v>0.11</v>
      </c>
      <c r="G35" s="41">
        <v>2404</v>
      </c>
      <c r="H35" s="40">
        <v>-0.16</v>
      </c>
      <c r="I35" s="42">
        <v>0.38300000000000001</v>
      </c>
      <c r="J35" s="41">
        <v>212</v>
      </c>
      <c r="K35" s="40">
        <v>0.2</v>
      </c>
      <c r="L35" s="42">
        <v>-0.152</v>
      </c>
      <c r="M35" s="41">
        <v>74.400000000000006</v>
      </c>
      <c r="N35" s="41">
        <v>36.1</v>
      </c>
      <c r="O35" s="42">
        <v>0.48599999999999999</v>
      </c>
      <c r="P35" s="42">
        <v>8.9999999999999993E-3</v>
      </c>
      <c r="Q35" s="42">
        <v>0.161</v>
      </c>
      <c r="R35" s="42">
        <v>7.0000000000000001E-3</v>
      </c>
      <c r="S35" s="42">
        <v>0.28599999999999998</v>
      </c>
    </row>
    <row r="36" spans="4:19" ht="15" x14ac:dyDescent="0.4">
      <c r="D36" s="33" t="s">
        <v>53</v>
      </c>
      <c r="E36" s="34">
        <v>0.23</v>
      </c>
      <c r="F36" s="35">
        <v>0.78</v>
      </c>
      <c r="G36" s="36">
        <v>1295</v>
      </c>
      <c r="H36" s="35">
        <v>0.06</v>
      </c>
      <c r="I36" s="37">
        <v>0.105</v>
      </c>
      <c r="J36" s="36">
        <v>40</v>
      </c>
      <c r="K36" s="35">
        <v>0.3</v>
      </c>
      <c r="L36" s="37">
        <v>4.9000000000000002E-2</v>
      </c>
      <c r="M36" s="36">
        <v>28.4</v>
      </c>
      <c r="N36" s="36">
        <v>18.5</v>
      </c>
      <c r="O36" s="37">
        <v>0.64900000000000002</v>
      </c>
      <c r="P36" s="37">
        <v>6.5000000000000002E-2</v>
      </c>
      <c r="Q36" s="37">
        <v>1.6E-2</v>
      </c>
      <c r="R36" s="37">
        <v>-0.01</v>
      </c>
      <c r="S36" s="37">
        <v>0.35199999999999998</v>
      </c>
    </row>
    <row r="37" spans="4:19" ht="15" x14ac:dyDescent="0.4">
      <c r="D37" s="38" t="s">
        <v>47</v>
      </c>
      <c r="E37" s="39">
        <v>0.28000000000000003</v>
      </c>
      <c r="F37" s="40">
        <v>0.47</v>
      </c>
      <c r="G37" s="41">
        <v>1080</v>
      </c>
      <c r="H37" s="40">
        <v>0.08</v>
      </c>
      <c r="I37" s="42">
        <v>0.21299999999999999</v>
      </c>
      <c r="J37" s="41">
        <v>79</v>
      </c>
      <c r="K37" s="40">
        <v>0.34</v>
      </c>
      <c r="L37" s="42">
        <v>3.4000000000000002E-2</v>
      </c>
      <c r="M37" s="41">
        <v>86</v>
      </c>
      <c r="N37" s="41">
        <v>54.5</v>
      </c>
      <c r="O37" s="42">
        <v>0.63400000000000001</v>
      </c>
      <c r="P37" s="42">
        <v>-0.124</v>
      </c>
      <c r="Q37" s="42">
        <v>-0.158</v>
      </c>
      <c r="R37" s="42">
        <v>-4.3999999999999997E-2</v>
      </c>
      <c r="S37" s="42">
        <v>0.29299999999999998</v>
      </c>
    </row>
    <row r="38" spans="4:19" ht="15" x14ac:dyDescent="0.4">
      <c r="D38" s="33" t="s">
        <v>70</v>
      </c>
      <c r="E38" s="34">
        <v>0.06</v>
      </c>
      <c r="F38" s="35">
        <v>0.11</v>
      </c>
      <c r="G38" s="36">
        <v>101</v>
      </c>
      <c r="H38" s="35">
        <v>0.08</v>
      </c>
      <c r="I38" s="37">
        <v>0</v>
      </c>
      <c r="J38" s="36">
        <v>9</v>
      </c>
      <c r="K38" s="35">
        <v>0.3</v>
      </c>
      <c r="L38" s="37">
        <v>-1.4E-2</v>
      </c>
      <c r="M38" s="36">
        <v>1.3</v>
      </c>
      <c r="N38" s="36">
        <v>0.8</v>
      </c>
      <c r="O38" s="37">
        <v>0.60399999999999998</v>
      </c>
      <c r="P38" s="37">
        <v>0</v>
      </c>
      <c r="Q38" s="37">
        <v>1.4E-2</v>
      </c>
      <c r="R38" s="37">
        <v>-9.5000000000000001E-2</v>
      </c>
      <c r="S38" s="37">
        <v>0.30499999999999999</v>
      </c>
    </row>
    <row r="39" spans="4:19" ht="15" x14ac:dyDescent="0.4">
      <c r="D39" s="38" t="s">
        <v>49</v>
      </c>
      <c r="E39" s="39">
        <v>0.26</v>
      </c>
      <c r="F39" s="40">
        <v>0.3</v>
      </c>
      <c r="G39" s="41">
        <v>575</v>
      </c>
      <c r="H39" s="40">
        <v>0.03</v>
      </c>
      <c r="I39" s="42">
        <v>0.14199999999999999</v>
      </c>
      <c r="J39" s="41">
        <v>27</v>
      </c>
      <c r="K39" s="40">
        <v>0.31</v>
      </c>
      <c r="L39" s="42">
        <v>-0.02</v>
      </c>
      <c r="M39" s="41">
        <v>21.4</v>
      </c>
      <c r="N39" s="41">
        <v>11.4</v>
      </c>
      <c r="O39" s="42">
        <v>0.53100000000000003</v>
      </c>
      <c r="P39" s="42">
        <v>8.4000000000000005E-2</v>
      </c>
      <c r="Q39" s="42">
        <v>0.104</v>
      </c>
      <c r="R39" s="42">
        <v>-4.5999999999999999E-2</v>
      </c>
      <c r="S39" s="42">
        <v>0.22500000000000001</v>
      </c>
    </row>
    <row r="40" spans="4:19" ht="15" x14ac:dyDescent="0.4">
      <c r="D40" s="33" t="s">
        <v>74</v>
      </c>
      <c r="E40" s="34">
        <v>0.01</v>
      </c>
      <c r="F40" s="35">
        <v>0.12</v>
      </c>
      <c r="G40" s="36">
        <v>309</v>
      </c>
      <c r="H40" s="35">
        <v>0.02</v>
      </c>
      <c r="I40" s="37">
        <v>0.27500000000000002</v>
      </c>
      <c r="J40" s="36">
        <v>12</v>
      </c>
      <c r="K40" s="35">
        <v>0.14000000000000001</v>
      </c>
      <c r="L40" s="37">
        <v>-2.1000000000000001E-2</v>
      </c>
      <c r="M40" s="36">
        <v>0.4</v>
      </c>
      <c r="N40" s="36">
        <v>0.2</v>
      </c>
      <c r="O40" s="37">
        <v>0.61299999999999999</v>
      </c>
      <c r="P40" s="37">
        <v>0.111</v>
      </c>
      <c r="Q40" s="37">
        <v>0.13100000000000001</v>
      </c>
      <c r="R40" s="37">
        <v>-4.1000000000000002E-2</v>
      </c>
      <c r="S40" s="37">
        <v>0.47599999999999998</v>
      </c>
    </row>
    <row r="41" spans="4:19" ht="15" x14ac:dyDescent="0.4">
      <c r="D41" s="38" t="s">
        <v>60</v>
      </c>
      <c r="E41" s="39">
        <v>0.15</v>
      </c>
      <c r="F41" s="40">
        <v>0.23</v>
      </c>
      <c r="G41" s="41">
        <v>2094</v>
      </c>
      <c r="H41" s="40">
        <v>0.04</v>
      </c>
      <c r="I41" s="42">
        <v>8.6999999999999994E-2</v>
      </c>
      <c r="J41" s="41">
        <v>43</v>
      </c>
      <c r="K41" s="40">
        <v>0.22</v>
      </c>
      <c r="L41" s="42">
        <v>-3.5999999999999997E-2</v>
      </c>
      <c r="M41" s="41">
        <v>28.1</v>
      </c>
      <c r="N41" s="41">
        <v>14</v>
      </c>
      <c r="O41" s="42">
        <v>0.499</v>
      </c>
      <c r="P41" s="42">
        <v>-3.5999999999999997E-2</v>
      </c>
      <c r="Q41" s="42">
        <v>0</v>
      </c>
      <c r="R41" s="42">
        <v>-7.1999999999999995E-2</v>
      </c>
      <c r="S41" s="42">
        <v>0.28100000000000003</v>
      </c>
    </row>
    <row r="42" spans="4:19" ht="15" x14ac:dyDescent="0.4">
      <c r="D42" s="33" t="s">
        <v>56</v>
      </c>
      <c r="E42" s="34">
        <v>0.19</v>
      </c>
      <c r="F42" s="35">
        <v>0.47</v>
      </c>
      <c r="G42" s="36">
        <v>518</v>
      </c>
      <c r="H42" s="35">
        <v>7.0000000000000007E-2</v>
      </c>
      <c r="I42" s="37">
        <v>0.11700000000000001</v>
      </c>
      <c r="J42" s="36">
        <v>16</v>
      </c>
      <c r="K42" s="35">
        <v>0.26</v>
      </c>
      <c r="L42" s="37">
        <v>0.16300000000000001</v>
      </c>
      <c r="M42" s="36">
        <v>12.2</v>
      </c>
      <c r="N42" s="36">
        <v>6.7</v>
      </c>
      <c r="O42" s="37">
        <v>0.55000000000000004</v>
      </c>
      <c r="P42" s="37">
        <v>0.08</v>
      </c>
      <c r="Q42" s="37">
        <v>-8.3000000000000004E-2</v>
      </c>
      <c r="R42" s="37">
        <v>9.5000000000000001E-2</v>
      </c>
      <c r="S42" s="37">
        <v>0.28699999999999998</v>
      </c>
    </row>
    <row r="43" spans="4:19" ht="15" x14ac:dyDescent="0.4">
      <c r="D43" s="38" t="s">
        <v>35</v>
      </c>
      <c r="E43" s="39">
        <v>0.42</v>
      </c>
      <c r="F43" s="40">
        <v>0.28000000000000003</v>
      </c>
      <c r="G43" s="41">
        <v>1151</v>
      </c>
      <c r="H43" s="40">
        <v>-0.06</v>
      </c>
      <c r="I43" s="42">
        <v>6.9000000000000006E-2</v>
      </c>
      <c r="J43" s="41">
        <v>32</v>
      </c>
      <c r="K43" s="40">
        <v>0.35</v>
      </c>
      <c r="L43" s="42">
        <v>-0.247</v>
      </c>
      <c r="M43" s="41">
        <v>39.299999999999997</v>
      </c>
      <c r="N43" s="41">
        <v>26.9</v>
      </c>
      <c r="O43" s="42">
        <v>0.68400000000000005</v>
      </c>
      <c r="P43" s="42">
        <v>-0.307</v>
      </c>
      <c r="Q43" s="42">
        <v>-0.06</v>
      </c>
      <c r="R43" s="42">
        <v>-0.19</v>
      </c>
      <c r="S43" s="42">
        <v>0.33500000000000002</v>
      </c>
    </row>
    <row r="44" spans="4:19" ht="15" x14ac:dyDescent="0.4">
      <c r="D44" s="33" t="s">
        <v>73</v>
      </c>
      <c r="E44" s="34">
        <v>0.04</v>
      </c>
      <c r="F44" s="35">
        <v>0.2</v>
      </c>
      <c r="G44" s="36">
        <v>87</v>
      </c>
      <c r="H44" s="35">
        <v>0.05</v>
      </c>
      <c r="I44" s="37">
        <v>0.28499999999999998</v>
      </c>
      <c r="J44" s="36">
        <v>5</v>
      </c>
      <c r="K44" s="35">
        <v>0.19</v>
      </c>
      <c r="L44" s="37">
        <v>-7.0000000000000001E-3</v>
      </c>
      <c r="M44" s="36">
        <v>0.9</v>
      </c>
      <c r="N44" s="36">
        <v>0.2</v>
      </c>
      <c r="O44" s="37">
        <v>0.28000000000000003</v>
      </c>
      <c r="P44" s="37">
        <v>-1.6E-2</v>
      </c>
      <c r="Q44" s="37">
        <v>-0.01</v>
      </c>
      <c r="R44" s="37">
        <v>-0.06</v>
      </c>
      <c r="S44" s="37">
        <v>8.7999999999999995E-2</v>
      </c>
    </row>
    <row r="45" spans="4:19" ht="15" x14ac:dyDescent="0.4">
      <c r="D45" s="38" t="s">
        <v>50</v>
      </c>
      <c r="E45" s="39">
        <v>0.09</v>
      </c>
      <c r="F45" s="40">
        <v>0.13</v>
      </c>
      <c r="G45" s="41">
        <v>1236</v>
      </c>
      <c r="H45" s="40">
        <v>0.05</v>
      </c>
      <c r="I45" s="42">
        <v>0.107</v>
      </c>
      <c r="J45" s="41">
        <v>32</v>
      </c>
      <c r="K45" s="40">
        <v>0.24</v>
      </c>
      <c r="L45" s="42">
        <v>5.6000000000000001E-2</v>
      </c>
      <c r="M45" s="41">
        <v>11.5</v>
      </c>
      <c r="N45" s="41">
        <v>6.6</v>
      </c>
      <c r="O45" s="42">
        <v>0.57099999999999995</v>
      </c>
      <c r="P45" s="42">
        <v>0.05</v>
      </c>
      <c r="Q45" s="42">
        <v>-5.0000000000000001E-3</v>
      </c>
      <c r="R45" s="42">
        <v>6.0000000000000001E-3</v>
      </c>
      <c r="S45" s="42">
        <v>0.32800000000000001</v>
      </c>
    </row>
    <row r="46" spans="4:19" ht="15.5" thickBot="1" x14ac:dyDescent="0.45">
      <c r="D46" s="53" t="s">
        <v>65</v>
      </c>
      <c r="E46" s="54">
        <v>0.1</v>
      </c>
      <c r="F46" s="55">
        <v>0.5</v>
      </c>
      <c r="G46" s="56">
        <v>69</v>
      </c>
      <c r="H46" s="55">
        <v>0.04</v>
      </c>
      <c r="I46" s="57">
        <v>0.23799999999999999</v>
      </c>
      <c r="J46" s="56">
        <v>5</v>
      </c>
      <c r="K46" s="55">
        <v>0.22</v>
      </c>
      <c r="L46" s="57">
        <v>-1.6E-2</v>
      </c>
      <c r="M46" s="56">
        <v>2.6</v>
      </c>
      <c r="N46" s="56">
        <v>1.2</v>
      </c>
      <c r="O46" s="57">
        <v>0.44700000000000001</v>
      </c>
      <c r="P46" s="57">
        <v>1.7999999999999999E-2</v>
      </c>
      <c r="Q46" s="57">
        <v>3.5000000000000003E-2</v>
      </c>
      <c r="R46" s="57">
        <v>-5.8999999999999997E-2</v>
      </c>
      <c r="S46" s="57">
        <v>0.224</v>
      </c>
    </row>
    <row r="47" spans="4:19" ht="15.5" thickBot="1" x14ac:dyDescent="0.45">
      <c r="D47" s="48" t="s">
        <v>52</v>
      </c>
      <c r="E47" s="49">
        <v>0.19</v>
      </c>
      <c r="F47" s="50">
        <v>0.85</v>
      </c>
      <c r="G47" s="51">
        <v>555</v>
      </c>
      <c r="H47" s="50">
        <v>0.01</v>
      </c>
      <c r="I47" s="52">
        <v>0.13600000000000001</v>
      </c>
      <c r="J47" s="51">
        <v>42</v>
      </c>
      <c r="K47" s="50">
        <v>0.33</v>
      </c>
      <c r="L47" s="52">
        <v>4.5999999999999999E-2</v>
      </c>
      <c r="M47" s="51">
        <v>25.1</v>
      </c>
      <c r="N47" s="51">
        <v>13.6</v>
      </c>
      <c r="O47" s="52">
        <v>0.54300000000000004</v>
      </c>
      <c r="P47" s="52">
        <v>-0.02</v>
      </c>
      <c r="Q47" s="52">
        <v>-6.6000000000000003E-2</v>
      </c>
      <c r="R47" s="52">
        <v>3.4000000000000002E-2</v>
      </c>
      <c r="S47" s="52">
        <v>0.21</v>
      </c>
    </row>
    <row r="48" spans="4:19" ht="15" x14ac:dyDescent="0.4">
      <c r="D48" s="32" t="s">
        <v>77</v>
      </c>
      <c r="E48" s="26">
        <v>0.03</v>
      </c>
      <c r="F48" s="29">
        <v>1</v>
      </c>
      <c r="G48" s="27">
        <v>3</v>
      </c>
      <c r="H48" s="29">
        <v>0.23</v>
      </c>
      <c r="I48" s="28">
        <v>0.34399999999999997</v>
      </c>
      <c r="J48" s="27">
        <v>2</v>
      </c>
      <c r="K48" s="29">
        <v>0.42</v>
      </c>
      <c r="L48" s="28">
        <v>-0.11</v>
      </c>
      <c r="M48" s="27">
        <v>0</v>
      </c>
      <c r="N48" s="27">
        <v>0</v>
      </c>
      <c r="O48" s="28">
        <v>0.67100000000000004</v>
      </c>
      <c r="P48" s="28">
        <v>0</v>
      </c>
      <c r="Q48" s="28">
        <v>0.11</v>
      </c>
      <c r="R48" s="28">
        <v>-0.33700000000000002</v>
      </c>
      <c r="S48" s="28">
        <v>0.25600000000000001</v>
      </c>
    </row>
    <row r="49" spans="4:19" ht="15" x14ac:dyDescent="0.4">
      <c r="D49" s="33" t="s">
        <v>38</v>
      </c>
      <c r="E49" s="34">
        <v>0.42</v>
      </c>
      <c r="F49" s="35">
        <v>0.56000000000000005</v>
      </c>
      <c r="G49" s="36">
        <v>966</v>
      </c>
      <c r="H49" s="35">
        <v>0.08</v>
      </c>
      <c r="I49" s="37">
        <v>5.6000000000000001E-2</v>
      </c>
      <c r="J49" s="36">
        <v>20</v>
      </c>
      <c r="K49" s="35">
        <v>0.32</v>
      </c>
      <c r="L49" s="37">
        <v>6.5000000000000002E-2</v>
      </c>
      <c r="M49" s="36">
        <v>26.3</v>
      </c>
      <c r="N49" s="36">
        <v>15.7</v>
      </c>
      <c r="O49" s="37">
        <v>0.59599999999999997</v>
      </c>
      <c r="P49" s="37">
        <v>2.3E-2</v>
      </c>
      <c r="Q49" s="37">
        <v>-4.2000000000000003E-2</v>
      </c>
      <c r="R49" s="37">
        <v>-1.0999999999999999E-2</v>
      </c>
      <c r="S49" s="37">
        <v>0.27500000000000002</v>
      </c>
    </row>
    <row r="50" spans="4:19" ht="15" x14ac:dyDescent="0.4">
      <c r="D50" s="38" t="s">
        <v>37</v>
      </c>
      <c r="E50" s="39">
        <v>0.47</v>
      </c>
      <c r="F50" s="40">
        <v>0.48</v>
      </c>
      <c r="G50" s="41">
        <v>417</v>
      </c>
      <c r="H50" s="40">
        <v>0.06</v>
      </c>
      <c r="I50" s="42">
        <v>0.13700000000000001</v>
      </c>
      <c r="J50" s="41">
        <v>18</v>
      </c>
      <c r="K50" s="40">
        <v>0.3</v>
      </c>
      <c r="L50" s="42">
        <v>0.04</v>
      </c>
      <c r="M50" s="41">
        <v>27</v>
      </c>
      <c r="N50" s="41">
        <v>13.2</v>
      </c>
      <c r="O50" s="42">
        <v>0.48799999999999999</v>
      </c>
      <c r="P50" s="42">
        <v>6.9000000000000006E-2</v>
      </c>
      <c r="Q50" s="42">
        <v>0.03</v>
      </c>
      <c r="R50" s="42">
        <v>-0.02</v>
      </c>
      <c r="S50" s="42">
        <v>0.187</v>
      </c>
    </row>
    <row r="51" spans="4:19" ht="15" x14ac:dyDescent="0.4">
      <c r="D51" s="33" t="s">
        <v>51</v>
      </c>
      <c r="E51" s="34">
        <v>0.26</v>
      </c>
      <c r="F51" s="35">
        <v>0.4</v>
      </c>
      <c r="G51" s="36">
        <v>2102</v>
      </c>
      <c r="H51" s="35">
        <v>0.06</v>
      </c>
      <c r="I51" s="37">
        <v>0.10299999999999999</v>
      </c>
      <c r="J51" s="36">
        <v>64</v>
      </c>
      <c r="K51" s="35">
        <v>0.28000000000000003</v>
      </c>
      <c r="L51" s="37">
        <v>0.02</v>
      </c>
      <c r="M51" s="36">
        <v>59.2</v>
      </c>
      <c r="N51" s="36">
        <v>40.299999999999997</v>
      </c>
      <c r="O51" s="37">
        <v>0.68100000000000005</v>
      </c>
      <c r="P51" s="37">
        <v>1.4E-2</v>
      </c>
      <c r="Q51" s="37">
        <v>-6.0000000000000001E-3</v>
      </c>
      <c r="R51" s="37">
        <v>-4.4999999999999998E-2</v>
      </c>
      <c r="S51" s="37">
        <v>0.39900000000000002</v>
      </c>
    </row>
    <row r="52" spans="4:19" ht="15" x14ac:dyDescent="0.4">
      <c r="D52" s="38" t="s">
        <v>40</v>
      </c>
      <c r="E52" s="39">
        <v>0.4</v>
      </c>
      <c r="F52" s="40">
        <v>0.33</v>
      </c>
      <c r="G52" s="41">
        <v>578</v>
      </c>
      <c r="H52" s="40">
        <v>0.05</v>
      </c>
      <c r="I52" s="42">
        <v>3.9E-2</v>
      </c>
      <c r="J52" s="41">
        <v>8</v>
      </c>
      <c r="K52" s="40">
        <v>0.32</v>
      </c>
      <c r="L52" s="42">
        <v>-4.2999999999999997E-2</v>
      </c>
      <c r="M52" s="41">
        <v>8.1999999999999993</v>
      </c>
      <c r="N52" s="41">
        <v>4.5</v>
      </c>
      <c r="O52" s="42">
        <v>0.55600000000000005</v>
      </c>
      <c r="P52" s="42">
        <v>0.16300000000000001</v>
      </c>
      <c r="Q52" s="42">
        <v>0.20599999999999999</v>
      </c>
      <c r="R52" s="42">
        <v>-9.1999999999999998E-2</v>
      </c>
      <c r="S52" s="42">
        <v>0.23300000000000001</v>
      </c>
    </row>
    <row r="53" spans="4:19" ht="15" x14ac:dyDescent="0.4">
      <c r="D53" s="33" t="s">
        <v>39</v>
      </c>
      <c r="E53" s="34">
        <v>0.4</v>
      </c>
      <c r="F53" s="35">
        <v>0.3</v>
      </c>
      <c r="G53" s="36">
        <v>735</v>
      </c>
      <c r="H53" s="35">
        <v>-0.04</v>
      </c>
      <c r="I53" s="37">
        <v>8.2000000000000003E-2</v>
      </c>
      <c r="J53" s="36">
        <v>21</v>
      </c>
      <c r="K53" s="35">
        <v>0.35</v>
      </c>
      <c r="L53" s="37">
        <v>-2.5999999999999999E-2</v>
      </c>
      <c r="M53" s="36">
        <v>23.2</v>
      </c>
      <c r="N53" s="36">
        <v>12.9</v>
      </c>
      <c r="O53" s="37">
        <v>0.55400000000000005</v>
      </c>
      <c r="P53" s="37">
        <v>8.9999999999999993E-3</v>
      </c>
      <c r="Q53" s="37">
        <v>3.5000000000000003E-2</v>
      </c>
      <c r="R53" s="37">
        <v>1.6E-2</v>
      </c>
      <c r="S53" s="37">
        <v>0.20799999999999999</v>
      </c>
    </row>
    <row r="54" spans="4:19" ht="15" x14ac:dyDescent="0.4">
      <c r="D54" s="38" t="s">
        <v>62</v>
      </c>
      <c r="E54" s="39">
        <v>0.12</v>
      </c>
      <c r="F54" s="40">
        <v>0.5</v>
      </c>
      <c r="G54" s="41">
        <v>765</v>
      </c>
      <c r="H54" s="40">
        <v>7.0000000000000007E-2</v>
      </c>
      <c r="I54" s="42">
        <v>0.106</v>
      </c>
      <c r="J54" s="41">
        <v>25</v>
      </c>
      <c r="K54" s="40">
        <v>0.28999999999999998</v>
      </c>
      <c r="L54" s="42">
        <v>0.05</v>
      </c>
      <c r="M54" s="41">
        <v>10</v>
      </c>
      <c r="N54" s="41">
        <v>4.9000000000000004</v>
      </c>
      <c r="O54" s="42">
        <v>0.49</v>
      </c>
      <c r="P54" s="42">
        <v>4.2999999999999997E-2</v>
      </c>
      <c r="Q54" s="42">
        <v>-6.0000000000000001E-3</v>
      </c>
      <c r="R54" s="42">
        <v>-2.1000000000000001E-2</v>
      </c>
      <c r="S54" s="42">
        <v>0.19600000000000001</v>
      </c>
    </row>
    <row r="55" spans="4:19" ht="15" x14ac:dyDescent="0.4">
      <c r="D55" s="33" t="s">
        <v>57</v>
      </c>
      <c r="E55" s="34">
        <v>0.1</v>
      </c>
      <c r="F55" s="35">
        <v>0.17</v>
      </c>
      <c r="G55" s="36">
        <v>773</v>
      </c>
      <c r="H55" s="35">
        <v>0.03</v>
      </c>
      <c r="I55" s="37">
        <v>3.5000000000000003E-2</v>
      </c>
      <c r="J55" s="36">
        <v>9</v>
      </c>
      <c r="K55" s="35">
        <v>0.31</v>
      </c>
      <c r="L55" s="37">
        <v>-3.5000000000000003E-2</v>
      </c>
      <c r="M55" s="36">
        <v>3</v>
      </c>
      <c r="N55" s="36">
        <v>1.8</v>
      </c>
      <c r="O55" s="37">
        <v>0.60099999999999998</v>
      </c>
      <c r="P55" s="37">
        <v>-6.8000000000000005E-2</v>
      </c>
      <c r="Q55" s="37">
        <v>-3.4000000000000002E-2</v>
      </c>
      <c r="R55" s="37">
        <v>-6.4000000000000001E-2</v>
      </c>
      <c r="S55" s="37">
        <v>0.29499999999999998</v>
      </c>
    </row>
    <row r="56" spans="4:19" ht="15" x14ac:dyDescent="0.4">
      <c r="D56" s="38" t="s">
        <v>44</v>
      </c>
      <c r="E56" s="39">
        <v>0.34</v>
      </c>
      <c r="F56" s="40">
        <v>0.31</v>
      </c>
      <c r="G56" s="41">
        <v>843</v>
      </c>
      <c r="H56" s="40">
        <v>0.15</v>
      </c>
      <c r="I56" s="42">
        <v>3.5999999999999997E-2</v>
      </c>
      <c r="J56" s="41">
        <v>11</v>
      </c>
      <c r="K56" s="40">
        <v>0.35</v>
      </c>
      <c r="L56" s="42">
        <v>-8.0000000000000002E-3</v>
      </c>
      <c r="M56" s="41">
        <v>9.6999999999999993</v>
      </c>
      <c r="N56" s="41">
        <v>4.5</v>
      </c>
      <c r="O56" s="42">
        <v>0.46500000000000002</v>
      </c>
      <c r="P56" s="42">
        <v>6.4000000000000001E-2</v>
      </c>
      <c r="Q56" s="42">
        <v>7.0999999999999994E-2</v>
      </c>
      <c r="R56" s="42">
        <v>-0.154</v>
      </c>
      <c r="S56" s="42">
        <v>0.12</v>
      </c>
    </row>
    <row r="57" spans="4:19" ht="15" x14ac:dyDescent="0.4">
      <c r="D57" s="33" t="s">
        <v>48</v>
      </c>
      <c r="E57" s="34">
        <v>0.28000000000000003</v>
      </c>
      <c r="F57" s="35">
        <v>0.17</v>
      </c>
      <c r="G57" s="36">
        <v>1772</v>
      </c>
      <c r="H57" s="35">
        <v>0.03</v>
      </c>
      <c r="I57" s="37">
        <v>5.6000000000000001E-2</v>
      </c>
      <c r="J57" s="36">
        <v>34</v>
      </c>
      <c r="K57" s="35">
        <v>0.34</v>
      </c>
      <c r="L57" s="37">
        <v>1.0999999999999999E-2</v>
      </c>
      <c r="M57" s="36">
        <v>28.1</v>
      </c>
      <c r="N57" s="36">
        <v>18.399999999999999</v>
      </c>
      <c r="O57" s="37">
        <v>0.65400000000000003</v>
      </c>
      <c r="P57" s="37">
        <v>1.6E-2</v>
      </c>
      <c r="Q57" s="37">
        <v>5.0000000000000001E-3</v>
      </c>
      <c r="R57" s="37">
        <v>-1.7999999999999999E-2</v>
      </c>
      <c r="S57" s="37">
        <v>0.313</v>
      </c>
    </row>
    <row r="58" spans="4:19" ht="15" x14ac:dyDescent="0.4">
      <c r="D58" s="38" t="s">
        <v>17</v>
      </c>
      <c r="E58" s="39">
        <v>0.94</v>
      </c>
      <c r="F58" s="40">
        <v>1</v>
      </c>
      <c r="G58" s="41">
        <v>109</v>
      </c>
      <c r="H58" s="40">
        <v>7.0000000000000007E-2</v>
      </c>
      <c r="I58" s="42">
        <v>0.41499999999999998</v>
      </c>
      <c r="J58" s="41">
        <v>16</v>
      </c>
      <c r="K58" s="40">
        <v>0.36</v>
      </c>
      <c r="L58" s="42">
        <v>0.03</v>
      </c>
      <c r="M58" s="41">
        <v>41.8</v>
      </c>
      <c r="N58" s="41">
        <v>16.3</v>
      </c>
      <c r="O58" s="42">
        <v>0.39</v>
      </c>
      <c r="P58" s="42">
        <v>3.3000000000000002E-2</v>
      </c>
      <c r="Q58" s="42">
        <v>3.0000000000000001E-3</v>
      </c>
      <c r="R58" s="42">
        <v>-4.1000000000000002E-2</v>
      </c>
      <c r="S58" s="42">
        <v>3.2000000000000001E-2</v>
      </c>
    </row>
    <row r="59" spans="4:19" ht="15" x14ac:dyDescent="0.4">
      <c r="D59" s="33" t="s">
        <v>27</v>
      </c>
      <c r="E59" s="34">
        <v>0.57999999999999996</v>
      </c>
      <c r="F59" s="35">
        <v>0.41</v>
      </c>
      <c r="G59" s="36">
        <v>568</v>
      </c>
      <c r="H59" s="35">
        <v>0.02</v>
      </c>
      <c r="I59" s="37">
        <v>0.13200000000000001</v>
      </c>
      <c r="J59" s="36">
        <v>30</v>
      </c>
      <c r="K59" s="35">
        <v>0.37</v>
      </c>
      <c r="L59" s="37">
        <v>-1.2E-2</v>
      </c>
      <c r="M59" s="36">
        <v>44.4</v>
      </c>
      <c r="N59" s="36">
        <v>32.200000000000003</v>
      </c>
      <c r="O59" s="37">
        <v>0.72599999999999998</v>
      </c>
      <c r="P59" s="37">
        <v>3.5999999999999997E-2</v>
      </c>
      <c r="Q59" s="37">
        <v>4.8000000000000001E-2</v>
      </c>
      <c r="R59" s="37">
        <v>-0.03</v>
      </c>
      <c r="S59" s="37">
        <v>0.36099999999999999</v>
      </c>
    </row>
    <row r="60" spans="4:19" ht="15" x14ac:dyDescent="0.4">
      <c r="D60" s="38" t="s">
        <v>24</v>
      </c>
      <c r="E60" s="39">
        <v>0.71</v>
      </c>
      <c r="F60" s="40">
        <v>0.25</v>
      </c>
      <c r="G60" s="41">
        <v>1039</v>
      </c>
      <c r="H60" s="40">
        <v>0.08</v>
      </c>
      <c r="I60" s="42">
        <v>7.1999999999999995E-2</v>
      </c>
      <c r="J60" s="41">
        <v>29</v>
      </c>
      <c r="K60" s="40">
        <v>0.37</v>
      </c>
      <c r="L60" s="42">
        <v>-2.1000000000000001E-2</v>
      </c>
      <c r="M60" s="41">
        <v>52.8</v>
      </c>
      <c r="N60" s="41">
        <v>28.7</v>
      </c>
      <c r="O60" s="42">
        <v>0.54400000000000004</v>
      </c>
      <c r="P60" s="42">
        <v>8.0000000000000002E-3</v>
      </c>
      <c r="Q60" s="42">
        <v>2.9000000000000001E-2</v>
      </c>
      <c r="R60" s="42">
        <v>-0.10299999999999999</v>
      </c>
      <c r="S60" s="42">
        <v>0.17100000000000001</v>
      </c>
    </row>
    <row r="61" spans="4:19" ht="15" x14ac:dyDescent="0.4">
      <c r="D61" s="33" t="s">
        <v>23</v>
      </c>
      <c r="E61" s="34">
        <v>0.4</v>
      </c>
      <c r="F61" s="35">
        <v>0.33</v>
      </c>
      <c r="G61" s="36">
        <v>943</v>
      </c>
      <c r="H61" s="35">
        <v>0.04</v>
      </c>
      <c r="I61" s="37">
        <v>0.155</v>
      </c>
      <c r="J61" s="36">
        <v>32</v>
      </c>
      <c r="K61" s="35">
        <v>0.22</v>
      </c>
      <c r="L61" s="37">
        <v>1.4E-2</v>
      </c>
      <c r="M61" s="36">
        <v>57.6</v>
      </c>
      <c r="N61" s="36">
        <v>27.3</v>
      </c>
      <c r="O61" s="37">
        <v>0.47399999999999998</v>
      </c>
      <c r="P61" s="37">
        <v>4.2999999999999997E-2</v>
      </c>
      <c r="Q61" s="37">
        <v>2.8000000000000001E-2</v>
      </c>
      <c r="R61" s="37">
        <v>-2.3E-2</v>
      </c>
      <c r="S61" s="37">
        <v>0.25600000000000001</v>
      </c>
    </row>
    <row r="62" spans="4:19" ht="15" x14ac:dyDescent="0.4">
      <c r="D62" s="38" t="s">
        <v>58</v>
      </c>
      <c r="E62" s="39">
        <v>0.11</v>
      </c>
      <c r="F62" s="40">
        <v>0.2</v>
      </c>
      <c r="G62" s="41">
        <v>1240</v>
      </c>
      <c r="H62" s="40">
        <v>0.11</v>
      </c>
      <c r="I62" s="42">
        <v>9.6000000000000002E-2</v>
      </c>
      <c r="J62" s="41">
        <v>26</v>
      </c>
      <c r="K62" s="40">
        <v>0.21</v>
      </c>
      <c r="L62" s="42">
        <v>5.8000000000000003E-2</v>
      </c>
      <c r="M62" s="41">
        <v>12.3</v>
      </c>
      <c r="N62" s="41">
        <v>8.1999999999999993</v>
      </c>
      <c r="O62" s="42">
        <v>0.66900000000000004</v>
      </c>
      <c r="P62" s="42">
        <v>0.109</v>
      </c>
      <c r="Q62" s="42">
        <v>5.1999999999999998E-2</v>
      </c>
      <c r="R62" s="42">
        <v>-5.7000000000000002E-2</v>
      </c>
      <c r="S62" s="42">
        <v>0.45800000000000002</v>
      </c>
    </row>
    <row r="63" spans="4:19" ht="15.5" thickBot="1" x14ac:dyDescent="0.45">
      <c r="D63" s="53" t="s">
        <v>54</v>
      </c>
      <c r="E63" s="54">
        <v>0.21</v>
      </c>
      <c r="F63" s="55">
        <v>0.2</v>
      </c>
      <c r="G63" s="56">
        <v>2715</v>
      </c>
      <c r="H63" s="55">
        <v>0.01</v>
      </c>
      <c r="I63" s="57">
        <v>4.4999999999999998E-2</v>
      </c>
      <c r="J63" s="56">
        <v>38</v>
      </c>
      <c r="K63" s="55">
        <v>0.28999999999999998</v>
      </c>
      <c r="L63" s="57">
        <v>-2.7E-2</v>
      </c>
      <c r="M63" s="56">
        <v>24.7</v>
      </c>
      <c r="N63" s="56">
        <v>14.7</v>
      </c>
      <c r="O63" s="57">
        <v>0.59699999999999998</v>
      </c>
      <c r="P63" s="57">
        <v>4.8000000000000001E-2</v>
      </c>
      <c r="Q63" s="57">
        <v>7.4999999999999997E-2</v>
      </c>
      <c r="R63" s="57">
        <v>-3.5000000000000003E-2</v>
      </c>
      <c r="S63" s="57">
        <v>0.309</v>
      </c>
    </row>
  </sheetData>
  <mergeCells count="14">
    <mergeCell ref="K5:K6"/>
    <mergeCell ref="D5:D6"/>
    <mergeCell ref="G5:G6"/>
    <mergeCell ref="H5:H6"/>
    <mergeCell ref="I5:I6"/>
    <mergeCell ref="J5:J6"/>
    <mergeCell ref="R5:R6"/>
    <mergeCell ref="S5:S6"/>
    <mergeCell ref="L5:L6"/>
    <mergeCell ref="M5:M6"/>
    <mergeCell ref="N5:N6"/>
    <mergeCell ref="O5:O6"/>
    <mergeCell ref="P5:P6"/>
    <mergeCell ref="Q5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376E-4818-4D46-B482-34ED2ECCFCD7}">
  <dimension ref="A1:E38"/>
  <sheetViews>
    <sheetView topLeftCell="A32" workbookViewId="0">
      <selection sqref="A1:D38"/>
    </sheetView>
  </sheetViews>
  <sheetFormatPr defaultRowHeight="17.399999999999999" customHeight="1" x14ac:dyDescent="0.35"/>
  <cols>
    <col min="1" max="5" width="14.453125" customWidth="1"/>
  </cols>
  <sheetData>
    <row r="1" spans="1:5" ht="24.65" customHeight="1" x14ac:dyDescent="0.35">
      <c r="A1" s="22" t="s">
        <v>201</v>
      </c>
      <c r="B1" s="22" t="s">
        <v>202</v>
      </c>
      <c r="C1" s="22" t="s">
        <v>203</v>
      </c>
      <c r="D1" s="22" t="s">
        <v>204</v>
      </c>
      <c r="E1" s="22" t="s">
        <v>205</v>
      </c>
    </row>
    <row r="2" spans="1:5" ht="17.399999999999999" customHeight="1" x14ac:dyDescent="0.35">
      <c r="A2" s="21" t="s">
        <v>187</v>
      </c>
      <c r="B2" s="21">
        <v>3432</v>
      </c>
      <c r="C2" s="21">
        <v>3432</v>
      </c>
      <c r="D2" s="3">
        <f>B2/C2</f>
        <v>1</v>
      </c>
      <c r="E2" t="s">
        <v>188</v>
      </c>
    </row>
    <row r="3" spans="1:5" ht="17.399999999999999" customHeight="1" x14ac:dyDescent="0.35">
      <c r="A3" s="21" t="s">
        <v>189</v>
      </c>
      <c r="B3" s="21">
        <v>768</v>
      </c>
      <c r="C3" s="21">
        <v>785</v>
      </c>
      <c r="D3" s="3">
        <f t="shared" ref="D3:D38" si="0">B3/C3</f>
        <v>0.97834394904458599</v>
      </c>
      <c r="E3" t="s">
        <v>188</v>
      </c>
    </row>
    <row r="4" spans="1:5" ht="17.399999999999999" customHeight="1" x14ac:dyDescent="0.35">
      <c r="A4" s="21" t="s">
        <v>191</v>
      </c>
      <c r="B4" s="21">
        <v>693</v>
      </c>
      <c r="C4" s="21">
        <v>693</v>
      </c>
      <c r="D4" s="3">
        <f t="shared" si="0"/>
        <v>1</v>
      </c>
      <c r="E4" t="s">
        <v>188</v>
      </c>
    </row>
    <row r="5" spans="1:5" ht="17.399999999999999" customHeight="1" x14ac:dyDescent="0.35">
      <c r="A5" s="21" t="s">
        <v>192</v>
      </c>
      <c r="B5" s="21">
        <v>655</v>
      </c>
      <c r="C5" s="21">
        <v>655</v>
      </c>
      <c r="D5" s="3">
        <f t="shared" si="0"/>
        <v>1</v>
      </c>
      <c r="E5" t="s">
        <v>188</v>
      </c>
    </row>
    <row r="6" spans="1:5" ht="17.399999999999999" customHeight="1" x14ac:dyDescent="0.35">
      <c r="A6" s="21" t="s">
        <v>193</v>
      </c>
      <c r="B6" s="21">
        <v>640</v>
      </c>
      <c r="C6" s="21">
        <v>783</v>
      </c>
      <c r="D6" s="3">
        <f t="shared" si="0"/>
        <v>0.81736909323116225</v>
      </c>
      <c r="E6" t="s">
        <v>188</v>
      </c>
    </row>
    <row r="7" spans="1:5" ht="17.399999999999999" customHeight="1" x14ac:dyDescent="0.35">
      <c r="A7" s="21" t="s">
        <v>194</v>
      </c>
      <c r="B7" s="21">
        <v>543</v>
      </c>
      <c r="C7" s="21">
        <v>543</v>
      </c>
      <c r="D7" s="3">
        <f t="shared" si="0"/>
        <v>1</v>
      </c>
      <c r="E7" t="s">
        <v>188</v>
      </c>
    </row>
    <row r="8" spans="1:5" ht="17.399999999999999" customHeight="1" x14ac:dyDescent="0.35">
      <c r="A8" s="21" t="s">
        <v>195</v>
      </c>
      <c r="B8" s="21">
        <v>250</v>
      </c>
      <c r="C8" s="21">
        <v>250</v>
      </c>
      <c r="D8" s="3">
        <f t="shared" si="0"/>
        <v>1</v>
      </c>
      <c r="E8" t="s">
        <v>188</v>
      </c>
    </row>
    <row r="9" spans="1:5" ht="17.399999999999999" customHeight="1" x14ac:dyDescent="0.35">
      <c r="A9" s="21" t="s">
        <v>196</v>
      </c>
      <c r="B9" s="21">
        <v>215</v>
      </c>
      <c r="C9" s="21">
        <v>215</v>
      </c>
      <c r="D9" s="3">
        <f t="shared" si="0"/>
        <v>1</v>
      </c>
      <c r="E9" t="s">
        <v>188</v>
      </c>
    </row>
    <row r="10" spans="1:5" ht="17.399999999999999" customHeight="1" x14ac:dyDescent="0.35">
      <c r="A10" s="21" t="s">
        <v>197</v>
      </c>
      <c r="B10" s="21">
        <v>109</v>
      </c>
      <c r="C10" s="21">
        <v>110</v>
      </c>
      <c r="D10" s="3">
        <f t="shared" si="0"/>
        <v>0.99090909090909096</v>
      </c>
      <c r="E10" t="s">
        <v>188</v>
      </c>
    </row>
    <row r="11" spans="1:5" ht="17.399999999999999" customHeight="1" x14ac:dyDescent="0.35">
      <c r="A11" s="21" t="s">
        <v>198</v>
      </c>
      <c r="B11" s="21">
        <v>61</v>
      </c>
      <c r="C11" s="21">
        <v>61</v>
      </c>
      <c r="D11" s="3">
        <f t="shared" si="0"/>
        <v>1</v>
      </c>
      <c r="E11" t="s">
        <v>188</v>
      </c>
    </row>
    <row r="12" spans="1:5" ht="17.399999999999999" customHeight="1" x14ac:dyDescent="0.35">
      <c r="A12" s="21" t="s">
        <v>199</v>
      </c>
      <c r="B12" s="21">
        <v>60</v>
      </c>
      <c r="C12" s="21">
        <v>60</v>
      </c>
      <c r="D12" s="3">
        <f t="shared" si="0"/>
        <v>1</v>
      </c>
      <c r="E12" t="s">
        <v>188</v>
      </c>
    </row>
    <row r="13" spans="1:5" ht="17.399999999999999" customHeight="1" x14ac:dyDescent="0.35">
      <c r="A13" s="21" t="s">
        <v>206</v>
      </c>
      <c r="B13" s="21">
        <v>47</v>
      </c>
      <c r="C13" s="21">
        <v>606</v>
      </c>
      <c r="D13" s="3">
        <f t="shared" si="0"/>
        <v>7.7557755775577553E-2</v>
      </c>
    </row>
    <row r="14" spans="1:5" ht="17.399999999999999" customHeight="1" x14ac:dyDescent="0.35">
      <c r="A14" s="21" t="s">
        <v>207</v>
      </c>
      <c r="B14" s="21">
        <v>40</v>
      </c>
      <c r="C14" s="21">
        <v>260</v>
      </c>
      <c r="D14" s="3">
        <f t="shared" si="0"/>
        <v>0.15384615384615385</v>
      </c>
    </row>
    <row r="15" spans="1:5" ht="17.399999999999999" customHeight="1" x14ac:dyDescent="0.35">
      <c r="A15" s="21" t="s">
        <v>208</v>
      </c>
      <c r="B15" s="21">
        <v>35</v>
      </c>
      <c r="C15" s="21">
        <v>497</v>
      </c>
      <c r="D15" s="3">
        <f t="shared" si="0"/>
        <v>7.0422535211267609E-2</v>
      </c>
    </row>
    <row r="16" spans="1:5" ht="17.399999999999999" customHeight="1" x14ac:dyDescent="0.35">
      <c r="A16" s="21" t="s">
        <v>209</v>
      </c>
      <c r="B16" s="21">
        <v>34</v>
      </c>
      <c r="C16" s="21">
        <v>34</v>
      </c>
      <c r="D16" s="3">
        <f t="shared" si="0"/>
        <v>1</v>
      </c>
    </row>
    <row r="17" spans="1:4" ht="17.399999999999999" customHeight="1" x14ac:dyDescent="0.35">
      <c r="A17" s="21" t="s">
        <v>210</v>
      </c>
      <c r="B17" s="21">
        <v>12</v>
      </c>
      <c r="C17" s="21">
        <v>6844</v>
      </c>
      <c r="D17" s="3">
        <f t="shared" si="0"/>
        <v>1.7533606078316774E-3</v>
      </c>
    </row>
    <row r="18" spans="1:4" ht="17.399999999999999" customHeight="1" x14ac:dyDescent="0.35">
      <c r="A18" s="21" t="s">
        <v>211</v>
      </c>
      <c r="B18" s="21">
        <v>9</v>
      </c>
      <c r="C18" s="21">
        <v>112</v>
      </c>
      <c r="D18" s="3">
        <f t="shared" si="0"/>
        <v>8.0357142857142863E-2</v>
      </c>
    </row>
    <row r="19" spans="1:4" ht="17.399999999999999" customHeight="1" x14ac:dyDescent="0.35">
      <c r="A19" s="21" t="s">
        <v>212</v>
      </c>
      <c r="B19" s="21">
        <v>9</v>
      </c>
      <c r="C19" s="21">
        <v>201</v>
      </c>
      <c r="D19" s="3">
        <f t="shared" si="0"/>
        <v>4.4776119402985072E-2</v>
      </c>
    </row>
    <row r="20" spans="1:4" ht="17.399999999999999" customHeight="1" x14ac:dyDescent="0.35">
      <c r="A20" s="21" t="s">
        <v>213</v>
      </c>
      <c r="B20" s="21">
        <v>8</v>
      </c>
      <c r="C20" s="21">
        <v>73</v>
      </c>
      <c r="D20" s="3">
        <f t="shared" si="0"/>
        <v>0.1095890410958904</v>
      </c>
    </row>
    <row r="21" spans="1:4" ht="17.399999999999999" customHeight="1" x14ac:dyDescent="0.35">
      <c r="A21" s="21" t="s">
        <v>214</v>
      </c>
      <c r="B21" s="21">
        <v>8</v>
      </c>
      <c r="C21" s="21">
        <v>43</v>
      </c>
      <c r="D21" s="3">
        <f t="shared" si="0"/>
        <v>0.18604651162790697</v>
      </c>
    </row>
    <row r="22" spans="1:4" ht="17.399999999999999" customHeight="1" x14ac:dyDescent="0.35">
      <c r="A22" s="21" t="s">
        <v>215</v>
      </c>
      <c r="B22" s="21">
        <v>8</v>
      </c>
      <c r="C22" s="21">
        <v>8</v>
      </c>
      <c r="D22" s="3">
        <f t="shared" si="0"/>
        <v>1</v>
      </c>
    </row>
    <row r="23" spans="1:4" ht="17.399999999999999" customHeight="1" x14ac:dyDescent="0.35">
      <c r="A23" s="21" t="s">
        <v>216</v>
      </c>
      <c r="B23" s="21">
        <v>6</v>
      </c>
      <c r="C23" s="21">
        <v>127</v>
      </c>
      <c r="D23" s="3">
        <f t="shared" si="0"/>
        <v>4.7244094488188976E-2</v>
      </c>
    </row>
    <row r="24" spans="1:4" ht="17.399999999999999" customHeight="1" x14ac:dyDescent="0.35">
      <c r="A24" s="21" t="s">
        <v>217</v>
      </c>
      <c r="B24" s="21">
        <v>5</v>
      </c>
      <c r="C24" s="21">
        <v>14</v>
      </c>
      <c r="D24" s="3">
        <f t="shared" si="0"/>
        <v>0.35714285714285715</v>
      </c>
    </row>
    <row r="25" spans="1:4" ht="17.399999999999999" customHeight="1" x14ac:dyDescent="0.35">
      <c r="A25" s="21" t="s">
        <v>218</v>
      </c>
      <c r="B25" s="21">
        <v>5</v>
      </c>
      <c r="C25" s="21">
        <v>24</v>
      </c>
      <c r="D25" s="3">
        <f t="shared" si="0"/>
        <v>0.20833333333333334</v>
      </c>
    </row>
    <row r="26" spans="1:4" ht="17.399999999999999" customHeight="1" x14ac:dyDescent="0.35">
      <c r="A26" s="21" t="s">
        <v>219</v>
      </c>
      <c r="B26" s="21">
        <v>5</v>
      </c>
      <c r="C26" s="21">
        <v>83</v>
      </c>
      <c r="D26" s="3">
        <f t="shared" si="0"/>
        <v>6.0240963855421686E-2</v>
      </c>
    </row>
    <row r="27" spans="1:4" ht="17.399999999999999" customHeight="1" x14ac:dyDescent="0.35">
      <c r="A27" s="21" t="s">
        <v>182</v>
      </c>
      <c r="B27" s="21">
        <v>5</v>
      </c>
      <c r="C27" s="21">
        <v>437</v>
      </c>
      <c r="D27" s="3">
        <f t="shared" si="0"/>
        <v>1.1441647597254004E-2</v>
      </c>
    </row>
    <row r="28" spans="1:4" ht="17.399999999999999" customHeight="1" x14ac:dyDescent="0.35">
      <c r="A28" s="21" t="s">
        <v>220</v>
      </c>
      <c r="B28" s="21">
        <v>5</v>
      </c>
      <c r="C28" s="21">
        <v>49</v>
      </c>
      <c r="D28" s="3">
        <f t="shared" si="0"/>
        <v>0.10204081632653061</v>
      </c>
    </row>
    <row r="29" spans="1:4" ht="17.399999999999999" customHeight="1" x14ac:dyDescent="0.35">
      <c r="A29" s="21" t="s">
        <v>221</v>
      </c>
      <c r="B29" s="21">
        <v>4</v>
      </c>
      <c r="C29" s="21">
        <v>51</v>
      </c>
      <c r="D29" s="3">
        <f t="shared" si="0"/>
        <v>7.8431372549019607E-2</v>
      </c>
    </row>
    <row r="30" spans="1:4" ht="17.399999999999999" customHeight="1" x14ac:dyDescent="0.35">
      <c r="A30" s="21" t="s">
        <v>222</v>
      </c>
      <c r="B30" s="21">
        <v>4</v>
      </c>
      <c r="C30" s="21">
        <v>14</v>
      </c>
      <c r="D30" s="3">
        <f t="shared" si="0"/>
        <v>0.2857142857142857</v>
      </c>
    </row>
    <row r="31" spans="1:4" ht="17.399999999999999" customHeight="1" x14ac:dyDescent="0.35">
      <c r="A31" s="21" t="s">
        <v>223</v>
      </c>
      <c r="B31" s="21">
        <v>3</v>
      </c>
      <c r="C31" s="21">
        <v>108</v>
      </c>
      <c r="D31" s="3">
        <f t="shared" si="0"/>
        <v>2.7777777777777776E-2</v>
      </c>
    </row>
    <row r="32" spans="1:4" ht="17.399999999999999" customHeight="1" x14ac:dyDescent="0.35">
      <c r="A32" s="21" t="s">
        <v>224</v>
      </c>
      <c r="B32" s="21">
        <v>3</v>
      </c>
      <c r="C32" s="21">
        <v>15</v>
      </c>
      <c r="D32" s="3">
        <f t="shared" si="0"/>
        <v>0.2</v>
      </c>
    </row>
    <row r="33" spans="1:4" ht="17.399999999999999" customHeight="1" x14ac:dyDescent="0.35">
      <c r="A33" s="21" t="s">
        <v>225</v>
      </c>
      <c r="B33" s="21">
        <v>3</v>
      </c>
      <c r="C33" s="21">
        <v>45</v>
      </c>
      <c r="D33" s="3">
        <f t="shared" si="0"/>
        <v>6.6666666666666666E-2</v>
      </c>
    </row>
    <row r="34" spans="1:4" ht="17.399999999999999" customHeight="1" x14ac:dyDescent="0.35">
      <c r="A34" s="21" t="s">
        <v>226</v>
      </c>
      <c r="B34" s="21">
        <v>2</v>
      </c>
      <c r="C34" s="21">
        <v>3</v>
      </c>
      <c r="D34" s="3">
        <f t="shared" si="0"/>
        <v>0.66666666666666663</v>
      </c>
    </row>
    <row r="35" spans="1:4" ht="17.399999999999999" customHeight="1" x14ac:dyDescent="0.35">
      <c r="A35" s="21" t="s">
        <v>227</v>
      </c>
      <c r="B35" s="21">
        <v>2</v>
      </c>
      <c r="C35" s="21">
        <v>17</v>
      </c>
      <c r="D35" s="3">
        <f t="shared" si="0"/>
        <v>0.11764705882352941</v>
      </c>
    </row>
    <row r="36" spans="1:4" ht="17.399999999999999" customHeight="1" x14ac:dyDescent="0.35">
      <c r="A36" s="21" t="s">
        <v>228</v>
      </c>
      <c r="B36" s="21">
        <v>2</v>
      </c>
      <c r="C36" s="21">
        <v>5</v>
      </c>
      <c r="D36" s="3">
        <f t="shared" si="0"/>
        <v>0.4</v>
      </c>
    </row>
    <row r="37" spans="1:4" ht="17.399999999999999" customHeight="1" x14ac:dyDescent="0.35">
      <c r="A37" s="21" t="s">
        <v>229</v>
      </c>
      <c r="B37" s="21">
        <v>2</v>
      </c>
      <c r="C37" s="21">
        <v>91</v>
      </c>
      <c r="D37" s="3">
        <f t="shared" si="0"/>
        <v>2.197802197802198E-2</v>
      </c>
    </row>
    <row r="38" spans="1:4" ht="17.399999999999999" customHeight="1" x14ac:dyDescent="0.35">
      <c r="A38" s="21" t="s">
        <v>230</v>
      </c>
      <c r="B38" s="21">
        <v>2</v>
      </c>
      <c r="C38" s="21">
        <v>55</v>
      </c>
      <c r="D38" s="3">
        <f t="shared" si="0"/>
        <v>3.6363636363636362E-2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4847-60AB-4638-8AC8-A4012813F131}">
  <dimension ref="A1:B191"/>
  <sheetViews>
    <sheetView workbookViewId="0">
      <selection sqref="A1:B191"/>
    </sheetView>
  </sheetViews>
  <sheetFormatPr defaultRowHeight="14.5" x14ac:dyDescent="0.35"/>
  <sheetData>
    <row r="1" spans="1:1" x14ac:dyDescent="0.35">
      <c r="A1" t="s">
        <v>231</v>
      </c>
    </row>
    <row r="3" spans="1:1" x14ac:dyDescent="0.35">
      <c r="A3" t="s">
        <v>232</v>
      </c>
    </row>
    <row r="4" spans="1:1" x14ac:dyDescent="0.35">
      <c r="A4" t="s">
        <v>233</v>
      </c>
    </row>
    <row r="5" spans="1:1" x14ac:dyDescent="0.35">
      <c r="A5" t="s">
        <v>234</v>
      </c>
    </row>
    <row r="6" spans="1:1" x14ac:dyDescent="0.35">
      <c r="A6" t="s">
        <v>235</v>
      </c>
    </row>
    <row r="7" spans="1:1" x14ac:dyDescent="0.35">
      <c r="A7" t="s">
        <v>236</v>
      </c>
    </row>
    <row r="8" spans="1:1" x14ac:dyDescent="0.35">
      <c r="A8" t="s">
        <v>237</v>
      </c>
    </row>
    <row r="9" spans="1:1" x14ac:dyDescent="0.35">
      <c r="A9" t="s">
        <v>238</v>
      </c>
    </row>
    <row r="10" spans="1:1" x14ac:dyDescent="0.35">
      <c r="A10" t="s">
        <v>239</v>
      </c>
    </row>
    <row r="11" spans="1:1" x14ac:dyDescent="0.35">
      <c r="A11" t="s">
        <v>240</v>
      </c>
    </row>
    <row r="12" spans="1:1" x14ac:dyDescent="0.35">
      <c r="A12" t="s">
        <v>241</v>
      </c>
    </row>
    <row r="13" spans="1:1" x14ac:dyDescent="0.35">
      <c r="A13" t="s">
        <v>242</v>
      </c>
    </row>
    <row r="14" spans="1:1" x14ac:dyDescent="0.35">
      <c r="A14" t="s">
        <v>243</v>
      </c>
    </row>
    <row r="15" spans="1:1" x14ac:dyDescent="0.35">
      <c r="A15" t="s">
        <v>244</v>
      </c>
    </row>
    <row r="16" spans="1:1" x14ac:dyDescent="0.35">
      <c r="A16" t="s">
        <v>245</v>
      </c>
    </row>
    <row r="17" spans="1:1" x14ac:dyDescent="0.35">
      <c r="A17" t="s">
        <v>246</v>
      </c>
    </row>
    <row r="18" spans="1:1" x14ac:dyDescent="0.35">
      <c r="A18" t="s">
        <v>247</v>
      </c>
    </row>
    <row r="19" spans="1:1" x14ac:dyDescent="0.35">
      <c r="A19" t="s">
        <v>248</v>
      </c>
    </row>
    <row r="20" spans="1:1" x14ac:dyDescent="0.35">
      <c r="A20" t="s">
        <v>249</v>
      </c>
    </row>
    <row r="21" spans="1:1" x14ac:dyDescent="0.35">
      <c r="A21" t="s">
        <v>250</v>
      </c>
    </row>
    <row r="22" spans="1:1" x14ac:dyDescent="0.35">
      <c r="A22" t="s">
        <v>251</v>
      </c>
    </row>
    <row r="23" spans="1:1" x14ac:dyDescent="0.35">
      <c r="A23" t="s">
        <v>252</v>
      </c>
    </row>
    <row r="25" spans="1:1" x14ac:dyDescent="0.35">
      <c r="A25" t="s">
        <v>253</v>
      </c>
    </row>
    <row r="26" spans="1:1" x14ac:dyDescent="0.35">
      <c r="A26" t="s">
        <v>254</v>
      </c>
    </row>
    <row r="27" spans="1:1" x14ac:dyDescent="0.35">
      <c r="A27" t="s">
        <v>255</v>
      </c>
    </row>
    <row r="28" spans="1:1" x14ac:dyDescent="0.35">
      <c r="A28" t="s">
        <v>256</v>
      </c>
    </row>
    <row r="29" spans="1:1" x14ac:dyDescent="0.35">
      <c r="A29" t="s">
        <v>257</v>
      </c>
    </row>
    <row r="30" spans="1:1" x14ac:dyDescent="0.35">
      <c r="A30" t="s">
        <v>258</v>
      </c>
    </row>
    <row r="31" spans="1:1" x14ac:dyDescent="0.35">
      <c r="A31" t="s">
        <v>259</v>
      </c>
    </row>
    <row r="32" spans="1:1" x14ac:dyDescent="0.35">
      <c r="A32" t="s">
        <v>260</v>
      </c>
    </row>
    <row r="33" spans="1:1" x14ac:dyDescent="0.35">
      <c r="A33" t="s">
        <v>261</v>
      </c>
    </row>
    <row r="34" spans="1:1" x14ac:dyDescent="0.35">
      <c r="A34" t="s">
        <v>262</v>
      </c>
    </row>
    <row r="35" spans="1:1" x14ac:dyDescent="0.35">
      <c r="A35" t="s">
        <v>263</v>
      </c>
    </row>
    <row r="36" spans="1:1" x14ac:dyDescent="0.35">
      <c r="A36" t="s">
        <v>264</v>
      </c>
    </row>
    <row r="37" spans="1:1" x14ac:dyDescent="0.35">
      <c r="A37" t="s">
        <v>265</v>
      </c>
    </row>
    <row r="38" spans="1:1" x14ac:dyDescent="0.35">
      <c r="A38" t="s">
        <v>266</v>
      </c>
    </row>
    <row r="39" spans="1:1" x14ac:dyDescent="0.35">
      <c r="A39" t="s">
        <v>267</v>
      </c>
    </row>
    <row r="43" spans="1:1" x14ac:dyDescent="0.35">
      <c r="A43" t="e" cm="1">
        <f t="array" ref="A43">--JUST ITEM VERSION</f>
        <v>#NAME?</v>
      </c>
    </row>
    <row r="46" spans="1:1" x14ac:dyDescent="0.35">
      <c r="A46" t="s">
        <v>268</v>
      </c>
    </row>
    <row r="47" spans="1:1" x14ac:dyDescent="0.35">
      <c r="A47" t="s">
        <v>269</v>
      </c>
    </row>
    <row r="48" spans="1:1" x14ac:dyDescent="0.35">
      <c r="A48" t="s">
        <v>270</v>
      </c>
    </row>
    <row r="49" spans="1:1" x14ac:dyDescent="0.35">
      <c r="A49" t="s">
        <v>271</v>
      </c>
    </row>
    <row r="50" spans="1:1" x14ac:dyDescent="0.35">
      <c r="A50" t="s">
        <v>272</v>
      </c>
    </row>
    <row r="51" spans="1:1" x14ac:dyDescent="0.35">
      <c r="A51" t="s">
        <v>273</v>
      </c>
    </row>
    <row r="52" spans="1:1" x14ac:dyDescent="0.35">
      <c r="A52" t="s">
        <v>274</v>
      </c>
    </row>
    <row r="53" spans="1:1" x14ac:dyDescent="0.35">
      <c r="A53" t="s">
        <v>275</v>
      </c>
    </row>
    <row r="54" spans="1:1" x14ac:dyDescent="0.35">
      <c r="A54" t="s">
        <v>276</v>
      </c>
    </row>
    <row r="55" spans="1:1" x14ac:dyDescent="0.35">
      <c r="A55" t="s">
        <v>277</v>
      </c>
    </row>
    <row r="56" spans="1:1" x14ac:dyDescent="0.35">
      <c r="A56" t="s">
        <v>278</v>
      </c>
    </row>
    <row r="57" spans="1:1" x14ac:dyDescent="0.35">
      <c r="A57" t="s">
        <v>279</v>
      </c>
    </row>
    <row r="58" spans="1:1" x14ac:dyDescent="0.35">
      <c r="A58" t="s">
        <v>280</v>
      </c>
    </row>
    <row r="59" spans="1:1" x14ac:dyDescent="0.35">
      <c r="A59" t="s">
        <v>281</v>
      </c>
    </row>
    <row r="60" spans="1:1" x14ac:dyDescent="0.35">
      <c r="A60" t="s">
        <v>282</v>
      </c>
    </row>
    <row r="61" spans="1:1" x14ac:dyDescent="0.35">
      <c r="A61" t="e" cm="1">
        <f t="array" ref="A61">-- Conversion rules from CM/PDM/Rx</f>
        <v>#NAME?</v>
      </c>
    </row>
    <row r="62" spans="1:1" x14ac:dyDescent="0.35">
      <c r="A62" t="s">
        <v>283</v>
      </c>
    </row>
    <row r="63" spans="1:1" x14ac:dyDescent="0.35">
      <c r="A63" t="s">
        <v>284</v>
      </c>
    </row>
    <row r="64" spans="1:1" x14ac:dyDescent="0.35">
      <c r="A64" t="s">
        <v>285</v>
      </c>
    </row>
    <row r="65" spans="1:1" x14ac:dyDescent="0.35">
      <c r="A65" t="s">
        <v>286</v>
      </c>
    </row>
    <row r="66" spans="1:1" x14ac:dyDescent="0.35">
      <c r="A66" t="s">
        <v>263</v>
      </c>
    </row>
    <row r="67" spans="1:1" x14ac:dyDescent="0.35">
      <c r="A67" t="s">
        <v>287</v>
      </c>
    </row>
    <row r="68" spans="1:1" x14ac:dyDescent="0.35">
      <c r="A68" t="s">
        <v>288</v>
      </c>
    </row>
    <row r="69" spans="1:1" x14ac:dyDescent="0.35">
      <c r="A69" t="s">
        <v>289</v>
      </c>
    </row>
    <row r="70" spans="1:1" x14ac:dyDescent="0.35">
      <c r="A70" t="s">
        <v>290</v>
      </c>
    </row>
    <row r="71" spans="1:1" x14ac:dyDescent="0.35">
      <c r="A71" t="s">
        <v>291</v>
      </c>
    </row>
    <row r="72" spans="1:1" x14ac:dyDescent="0.35">
      <c r="A72" t="s">
        <v>292</v>
      </c>
    </row>
    <row r="73" spans="1:1" x14ac:dyDescent="0.35">
      <c r="A73" t="s">
        <v>293</v>
      </c>
    </row>
    <row r="74" spans="1:1" x14ac:dyDescent="0.35">
      <c r="A74" t="s">
        <v>294</v>
      </c>
    </row>
    <row r="75" spans="1:1" x14ac:dyDescent="0.35">
      <c r="A75" t="s">
        <v>295</v>
      </c>
    </row>
    <row r="76" spans="1:1" x14ac:dyDescent="0.35">
      <c r="A76" t="s">
        <v>296</v>
      </c>
    </row>
    <row r="77" spans="1:1" x14ac:dyDescent="0.35">
      <c r="A77" t="s">
        <v>297</v>
      </c>
    </row>
    <row r="78" spans="1:1" x14ac:dyDescent="0.35">
      <c r="A78" t="s">
        <v>298</v>
      </c>
    </row>
    <row r="79" spans="1:1" x14ac:dyDescent="0.35">
      <c r="A79" t="s">
        <v>299</v>
      </c>
    </row>
    <row r="80" spans="1:1" x14ac:dyDescent="0.35">
      <c r="A80" t="s">
        <v>300</v>
      </c>
    </row>
    <row r="81" spans="1:1" x14ac:dyDescent="0.35">
      <c r="A81" t="s">
        <v>301</v>
      </c>
    </row>
    <row r="82" spans="1:1" x14ac:dyDescent="0.35">
      <c r="A82" t="s">
        <v>302</v>
      </c>
    </row>
    <row r="83" spans="1:1" x14ac:dyDescent="0.35">
      <c r="A83" t="s">
        <v>303</v>
      </c>
    </row>
    <row r="84" spans="1:1" x14ac:dyDescent="0.35">
      <c r="A84" t="s">
        <v>304</v>
      </c>
    </row>
    <row r="85" spans="1:1" x14ac:dyDescent="0.35">
      <c r="A85" t="s">
        <v>305</v>
      </c>
    </row>
    <row r="86" spans="1:1" x14ac:dyDescent="0.35">
      <c r="A86" t="s">
        <v>306</v>
      </c>
    </row>
    <row r="87" spans="1:1" x14ac:dyDescent="0.35">
      <c r="A87" t="s">
        <v>307</v>
      </c>
    </row>
    <row r="88" spans="1:1" x14ac:dyDescent="0.35">
      <c r="A88" t="s">
        <v>308</v>
      </c>
    </row>
    <row r="89" spans="1:1" x14ac:dyDescent="0.35">
      <c r="A89" t="s">
        <v>309</v>
      </c>
    </row>
    <row r="90" spans="1:1" x14ac:dyDescent="0.35">
      <c r="A90" t="s">
        <v>310</v>
      </c>
    </row>
    <row r="91" spans="1:1" x14ac:dyDescent="0.35">
      <c r="A91" t="s">
        <v>311</v>
      </c>
    </row>
    <row r="92" spans="1:1" x14ac:dyDescent="0.35">
      <c r="A92" t="s">
        <v>312</v>
      </c>
    </row>
    <row r="93" spans="1:1" x14ac:dyDescent="0.35">
      <c r="A93" t="s">
        <v>313</v>
      </c>
    </row>
    <row r="94" spans="1:1" x14ac:dyDescent="0.35">
      <c r="A94" t="s">
        <v>314</v>
      </c>
    </row>
    <row r="95" spans="1:1" x14ac:dyDescent="0.35">
      <c r="A95" t="s">
        <v>315</v>
      </c>
    </row>
    <row r="96" spans="1:1" x14ac:dyDescent="0.35">
      <c r="A96" t="s">
        <v>316</v>
      </c>
    </row>
    <row r="97" spans="1:1" x14ac:dyDescent="0.35">
      <c r="A97" t="s">
        <v>317</v>
      </c>
    </row>
    <row r="98" spans="1:1" x14ac:dyDescent="0.35">
      <c r="A98" t="s">
        <v>318</v>
      </c>
    </row>
    <row r="99" spans="1:1" x14ac:dyDescent="0.35">
      <c r="A99" t="s">
        <v>319</v>
      </c>
    </row>
    <row r="100" spans="1:1" x14ac:dyDescent="0.35">
      <c r="A100" t="s">
        <v>320</v>
      </c>
    </row>
    <row r="101" spans="1:1" x14ac:dyDescent="0.35">
      <c r="A101" t="s">
        <v>321</v>
      </c>
    </row>
    <row r="102" spans="1:1" x14ac:dyDescent="0.35">
      <c r="A102" t="s">
        <v>322</v>
      </c>
    </row>
    <row r="103" spans="1:1" x14ac:dyDescent="0.35">
      <c r="A103" t="s">
        <v>323</v>
      </c>
    </row>
    <row r="104" spans="1:1" x14ac:dyDescent="0.35">
      <c r="A104" t="s">
        <v>324</v>
      </c>
    </row>
    <row r="106" spans="1:1" x14ac:dyDescent="0.35">
      <c r="A106" t="s">
        <v>325</v>
      </c>
    </row>
    <row r="107" spans="1:1" x14ac:dyDescent="0.35">
      <c r="A107" t="s">
        <v>326</v>
      </c>
    </row>
    <row r="108" spans="1:1" x14ac:dyDescent="0.35">
      <c r="A108" t="s">
        <v>327</v>
      </c>
    </row>
    <row r="109" spans="1:1" x14ac:dyDescent="0.35">
      <c r="A109" t="s">
        <v>328</v>
      </c>
    </row>
    <row r="110" spans="1:1" x14ac:dyDescent="0.35">
      <c r="A110" t="s">
        <v>329</v>
      </c>
    </row>
    <row r="111" spans="1:1" x14ac:dyDescent="0.35">
      <c r="A111" t="s">
        <v>330</v>
      </c>
    </row>
    <row r="112" spans="1:1" x14ac:dyDescent="0.35">
      <c r="A112" t="s">
        <v>331</v>
      </c>
    </row>
    <row r="113" spans="1:2" x14ac:dyDescent="0.35">
      <c r="A113" t="s">
        <v>332</v>
      </c>
    </row>
    <row r="114" spans="1:2" x14ac:dyDescent="0.35">
      <c r="A114" t="s">
        <v>333</v>
      </c>
    </row>
    <row r="115" spans="1:2" x14ac:dyDescent="0.35">
      <c r="B115" t="s">
        <v>334</v>
      </c>
    </row>
    <row r="116" spans="1:2" x14ac:dyDescent="0.35">
      <c r="B116" t="s">
        <v>335</v>
      </c>
    </row>
    <row r="117" spans="1:2" x14ac:dyDescent="0.35">
      <c r="B117" t="s">
        <v>336</v>
      </c>
    </row>
    <row r="118" spans="1:2" x14ac:dyDescent="0.35">
      <c r="A118" t="s">
        <v>337</v>
      </c>
    </row>
    <row r="119" spans="1:2" x14ac:dyDescent="0.35">
      <c r="A119" t="s">
        <v>338</v>
      </c>
    </row>
    <row r="120" spans="1:2" x14ac:dyDescent="0.35">
      <c r="A120" t="s">
        <v>339</v>
      </c>
    </row>
    <row r="121" spans="1:2" x14ac:dyDescent="0.35">
      <c r="A121" t="s">
        <v>340</v>
      </c>
    </row>
    <row r="122" spans="1:2" x14ac:dyDescent="0.35">
      <c r="A122" t="s">
        <v>341</v>
      </c>
    </row>
    <row r="123" spans="1:2" x14ac:dyDescent="0.35">
      <c r="A123" t="s">
        <v>342</v>
      </c>
    </row>
    <row r="124" spans="1:2" x14ac:dyDescent="0.35">
      <c r="A124" t="s">
        <v>343</v>
      </c>
    </row>
    <row r="125" spans="1:2" x14ac:dyDescent="0.35">
      <c r="A125" t="s">
        <v>344</v>
      </c>
    </row>
    <row r="127" spans="1:2" x14ac:dyDescent="0.35">
      <c r="A127" t="s">
        <v>345</v>
      </c>
    </row>
    <row r="128" spans="1:2" x14ac:dyDescent="0.35">
      <c r="A128" t="s">
        <v>346</v>
      </c>
    </row>
    <row r="129" spans="1:1" x14ac:dyDescent="0.35">
      <c r="A129" t="s">
        <v>347</v>
      </c>
    </row>
    <row r="130" spans="1:1" x14ac:dyDescent="0.35">
      <c r="A130" t="s">
        <v>348</v>
      </c>
    </row>
    <row r="131" spans="1:1" x14ac:dyDescent="0.35">
      <c r="A131" t="s">
        <v>349</v>
      </c>
    </row>
    <row r="132" spans="1:1" x14ac:dyDescent="0.35">
      <c r="A132" t="s">
        <v>350</v>
      </c>
    </row>
    <row r="133" spans="1:1" x14ac:dyDescent="0.35">
      <c r="A133" t="s">
        <v>351</v>
      </c>
    </row>
    <row r="134" spans="1:1" x14ac:dyDescent="0.35">
      <c r="A134" t="s">
        <v>352</v>
      </c>
    </row>
    <row r="135" spans="1:1" x14ac:dyDescent="0.35">
      <c r="A135" t="s">
        <v>353</v>
      </c>
    </row>
    <row r="136" spans="1:1" x14ac:dyDescent="0.35">
      <c r="A136" t="s">
        <v>354</v>
      </c>
    </row>
    <row r="137" spans="1:1" x14ac:dyDescent="0.35">
      <c r="A137" t="s">
        <v>355</v>
      </c>
    </row>
    <row r="138" spans="1:1" x14ac:dyDescent="0.35">
      <c r="A138" t="s">
        <v>356</v>
      </c>
    </row>
    <row r="139" spans="1:1" x14ac:dyDescent="0.35">
      <c r="A139" t="s">
        <v>357</v>
      </c>
    </row>
    <row r="140" spans="1:1" x14ac:dyDescent="0.35">
      <c r="A140" t="s">
        <v>358</v>
      </c>
    </row>
    <row r="141" spans="1:1" x14ac:dyDescent="0.35">
      <c r="A141" t="s">
        <v>359</v>
      </c>
    </row>
    <row r="142" spans="1:1" x14ac:dyDescent="0.35">
      <c r="A142" t="s">
        <v>360</v>
      </c>
    </row>
    <row r="143" spans="1:1" x14ac:dyDescent="0.35">
      <c r="A143" t="s">
        <v>361</v>
      </c>
    </row>
    <row r="144" spans="1:1" x14ac:dyDescent="0.35">
      <c r="A144" t="s">
        <v>362</v>
      </c>
    </row>
    <row r="145" spans="1:1" x14ac:dyDescent="0.35">
      <c r="A145" t="s">
        <v>363</v>
      </c>
    </row>
    <row r="146" spans="1:1" x14ac:dyDescent="0.35">
      <c r="A146" t="s">
        <v>364</v>
      </c>
    </row>
    <row r="147" spans="1:1" x14ac:dyDescent="0.35">
      <c r="A147" t="s">
        <v>365</v>
      </c>
    </row>
    <row r="148" spans="1:1" x14ac:dyDescent="0.35">
      <c r="A148" t="s">
        <v>366</v>
      </c>
    </row>
    <row r="149" spans="1:1" x14ac:dyDescent="0.35">
      <c r="A149" t="s">
        <v>367</v>
      </c>
    </row>
    <row r="150" spans="1:1" x14ac:dyDescent="0.35">
      <c r="A150" t="s">
        <v>368</v>
      </c>
    </row>
    <row r="151" spans="1:1" x14ac:dyDescent="0.35">
      <c r="A151" t="s">
        <v>369</v>
      </c>
    </row>
    <row r="152" spans="1:1" x14ac:dyDescent="0.35">
      <c r="A152" t="s">
        <v>370</v>
      </c>
    </row>
    <row r="153" spans="1:1" x14ac:dyDescent="0.35">
      <c r="A153" t="s">
        <v>371</v>
      </c>
    </row>
    <row r="154" spans="1:1" x14ac:dyDescent="0.35">
      <c r="A154" t="s">
        <v>372</v>
      </c>
    </row>
    <row r="155" spans="1:1" x14ac:dyDescent="0.35">
      <c r="A155" t="s">
        <v>373</v>
      </c>
    </row>
    <row r="156" spans="1:1" x14ac:dyDescent="0.35">
      <c r="A156" t="s">
        <v>374</v>
      </c>
    </row>
    <row r="157" spans="1:1" x14ac:dyDescent="0.35">
      <c r="A157" t="s">
        <v>375</v>
      </c>
    </row>
    <row r="158" spans="1:1" x14ac:dyDescent="0.35">
      <c r="A158" t="s">
        <v>376</v>
      </c>
    </row>
    <row r="159" spans="1:1" x14ac:dyDescent="0.35">
      <c r="A159" t="s">
        <v>377</v>
      </c>
    </row>
    <row r="161" spans="1:1" x14ac:dyDescent="0.35">
      <c r="A161" t="s">
        <v>378</v>
      </c>
    </row>
    <row r="162" spans="1:1" x14ac:dyDescent="0.35">
      <c r="A162" t="s">
        <v>346</v>
      </c>
    </row>
    <row r="163" spans="1:1" x14ac:dyDescent="0.35">
      <c r="A163" t="s">
        <v>379</v>
      </c>
    </row>
    <row r="164" spans="1:1" x14ac:dyDescent="0.35">
      <c r="A164" t="s">
        <v>380</v>
      </c>
    </row>
    <row r="165" spans="1:1" x14ac:dyDescent="0.35">
      <c r="A165" t="s">
        <v>381</v>
      </c>
    </row>
    <row r="166" spans="1:1" x14ac:dyDescent="0.35">
      <c r="A166" t="s">
        <v>382</v>
      </c>
    </row>
    <row r="167" spans="1:1" x14ac:dyDescent="0.35">
      <c r="A167" t="s">
        <v>383</v>
      </c>
    </row>
    <row r="168" spans="1:1" x14ac:dyDescent="0.35">
      <c r="A168" t="s">
        <v>384</v>
      </c>
    </row>
    <row r="169" spans="1:1" x14ac:dyDescent="0.35">
      <c r="A169" t="s">
        <v>385</v>
      </c>
    </row>
    <row r="170" spans="1:1" x14ac:dyDescent="0.35">
      <c r="A170" t="s">
        <v>386</v>
      </c>
    </row>
    <row r="171" spans="1:1" x14ac:dyDescent="0.35">
      <c r="A171" t="s">
        <v>387</v>
      </c>
    </row>
    <row r="172" spans="1:1" x14ac:dyDescent="0.35">
      <c r="A172" t="s">
        <v>388</v>
      </c>
    </row>
    <row r="173" spans="1:1" x14ac:dyDescent="0.35">
      <c r="A173" t="s">
        <v>389</v>
      </c>
    </row>
    <row r="174" spans="1:1" x14ac:dyDescent="0.35">
      <c r="A174" t="s">
        <v>390</v>
      </c>
    </row>
    <row r="175" spans="1:1" x14ac:dyDescent="0.35">
      <c r="A175" t="s">
        <v>391</v>
      </c>
    </row>
    <row r="176" spans="1:1" x14ac:dyDescent="0.35">
      <c r="A176" t="s">
        <v>392</v>
      </c>
    </row>
    <row r="177" spans="1:1" x14ac:dyDescent="0.35">
      <c r="A177" t="s">
        <v>393</v>
      </c>
    </row>
    <row r="180" spans="1:1" x14ac:dyDescent="0.35">
      <c r="A180" t="s">
        <v>394</v>
      </c>
    </row>
    <row r="181" spans="1:1" x14ac:dyDescent="0.35">
      <c r="A181" t="s">
        <v>346</v>
      </c>
    </row>
    <row r="182" spans="1:1" x14ac:dyDescent="0.35">
      <c r="A182" t="s">
        <v>395</v>
      </c>
    </row>
    <row r="183" spans="1:1" x14ac:dyDescent="0.35">
      <c r="A183" t="s">
        <v>396</v>
      </c>
    </row>
    <row r="184" spans="1:1" x14ac:dyDescent="0.35">
      <c r="A184" t="s">
        <v>397</v>
      </c>
    </row>
    <row r="185" spans="1:1" x14ac:dyDescent="0.35">
      <c r="A185" t="s">
        <v>398</v>
      </c>
    </row>
    <row r="186" spans="1:1" x14ac:dyDescent="0.35">
      <c r="A186" t="s">
        <v>399</v>
      </c>
    </row>
    <row r="187" spans="1:1" x14ac:dyDescent="0.35">
      <c r="A187" t="s">
        <v>400</v>
      </c>
    </row>
    <row r="191" spans="1:1" x14ac:dyDescent="0.35">
      <c r="A191" t="s">
        <v>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1417E890A904699947587CE6F1A18" ma:contentTypeVersion="17" ma:contentTypeDescription="Create a new document." ma:contentTypeScope="" ma:versionID="30ccb5534455ec5eb077b536cfdce133">
  <xsd:schema xmlns:xsd="http://www.w3.org/2001/XMLSchema" xmlns:xs="http://www.w3.org/2001/XMLSchema" xmlns:p="http://schemas.microsoft.com/office/2006/metadata/properties" xmlns:ns2="83730940-345c-475a-8f73-e137f4f4790e" xmlns:ns3="c562d11f-3c17-47ab-933a-0caa199658c9" xmlns:ns4="68b5c46d-b718-4c40-8c62-80384a65906d" targetNamespace="http://schemas.microsoft.com/office/2006/metadata/properties" ma:root="true" ma:fieldsID="4d22d6b2171339748084cbadcebbb308" ns2:_="" ns3:_="" ns4:_="">
    <xsd:import namespace="83730940-345c-475a-8f73-e137f4f4790e"/>
    <xsd:import namespace="c562d11f-3c17-47ab-933a-0caa199658c9"/>
    <xsd:import namespace="68b5c46d-b718-4c40-8c62-80384a659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30940-345c-475a-8f73-e137f4f47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1ce247b-15c6-4ea5-b045-d9bd4d2c65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2d11f-3c17-47ab-933a-0caa19965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5c46d-b718-4c40-8c62-80384a65906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f266e45-5770-4352-a30e-43f6816e307c}" ma:internalName="TaxCatchAll" ma:showField="CatchAllData" ma:web="c562d11f-3c17-47ab-933a-0caa19965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730940-345c-475a-8f73-e137f4f4790e">
      <Terms xmlns="http://schemas.microsoft.com/office/infopath/2007/PartnerControls"/>
    </lcf76f155ced4ddcb4097134ff3c332f>
    <TaxCatchAll xmlns="68b5c46d-b718-4c40-8c62-80384a6590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52B09-1534-4A4D-B066-0E9EBDD9C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730940-345c-475a-8f73-e137f4f4790e"/>
    <ds:schemaRef ds:uri="c562d11f-3c17-47ab-933a-0caa199658c9"/>
    <ds:schemaRef ds:uri="68b5c46d-b718-4c40-8c62-80384a659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918D9D-EAAE-45E1-A919-5BA223D89D6F}">
  <ds:schemaRefs>
    <ds:schemaRef ds:uri="http://schemas.microsoft.com/office/2006/metadata/properties"/>
    <ds:schemaRef ds:uri="http://schemas.microsoft.com/office/infopath/2007/PartnerControls"/>
    <ds:schemaRef ds:uri="83730940-345c-475a-8f73-e137f4f4790e"/>
    <ds:schemaRef ds:uri="68b5c46d-b718-4c40-8c62-80384a65906d"/>
  </ds:schemaRefs>
</ds:datastoreItem>
</file>

<file path=customXml/itemProps3.xml><?xml version="1.0" encoding="utf-8"?>
<ds:datastoreItem xmlns:ds="http://schemas.openxmlformats.org/officeDocument/2006/customXml" ds:itemID="{701ABC70-74B4-4C0D-A9C2-6FC2399EE1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fbd6cd6-3262-48dc-8011-f5abeb79275f}" enabled="1" method="Standard" siteId="{da67ef1b-ca59-4db2-9a8c-aa8d94617a1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 ORIG</vt:lpstr>
      <vt:lpstr>PC GP Contribution Modifiers</vt:lpstr>
      <vt:lpstr>FinalVercel</vt:lpstr>
      <vt:lpstr>Current Red Comp Suppliers</vt:lpstr>
      <vt:lpstr>qry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Faris, Andrew</dc:creator>
  <cp:keywords/>
  <dc:description/>
  <cp:lastModifiedBy>Wang, Yanjia</cp:lastModifiedBy>
  <cp:revision/>
  <dcterms:created xsi:type="dcterms:W3CDTF">2025-01-27T17:47:40Z</dcterms:created>
  <dcterms:modified xsi:type="dcterms:W3CDTF">2026-02-20T17:54:26Z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0x0101008ED1417E890A904699947587CE6F1A18</vt:lpwstr>
  </property>
</Properties>
</file>